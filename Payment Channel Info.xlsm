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27855" windowHeight="11910"/>
  </bookViews>
  <sheets>
    <sheet name="Instructions" sheetId="5" r:id="rId1"/>
    <sheet name="Dashboard" sheetId="2" r:id="rId2"/>
    <sheet name="Channel Watchlist" sheetId="3" r:id="rId3"/>
    <sheet name="Rebalance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35" i="2" l="1"/>
  <c r="R35" i="2" l="1"/>
  <c r="T35" i="2" l="1"/>
  <c r="R36" i="2" l="1"/>
  <c r="T36" i="2"/>
  <c r="O3" i="2"/>
  <c r="P3" i="2"/>
  <c r="O4" i="2"/>
  <c r="P4" i="2"/>
  <c r="O5" i="2"/>
  <c r="P5" i="2"/>
  <c r="O6" i="2"/>
  <c r="P6" i="2"/>
  <c r="O7" i="2"/>
  <c r="P7" i="2"/>
  <c r="O8" i="2"/>
  <c r="P8" i="2"/>
  <c r="O9" i="2"/>
  <c r="P9" i="2"/>
  <c r="O10" i="2"/>
  <c r="P10" i="2"/>
  <c r="O12" i="2"/>
  <c r="P12" i="2"/>
  <c r="O13" i="2"/>
  <c r="P13" i="2"/>
  <c r="O14" i="2"/>
  <c r="P14" i="2"/>
  <c r="O15" i="2"/>
  <c r="P15" i="2"/>
  <c r="O16" i="2"/>
  <c r="P16" i="2"/>
  <c r="O17" i="2"/>
  <c r="P17" i="2"/>
  <c r="O18" i="2"/>
  <c r="P18" i="2"/>
  <c r="O19" i="2"/>
  <c r="P19" i="2"/>
  <c r="O21" i="2"/>
  <c r="P21" i="2"/>
  <c r="O22" i="2"/>
  <c r="P22" i="2"/>
  <c r="O23" i="2"/>
  <c r="P23" i="2"/>
  <c r="O24" i="2"/>
  <c r="P24" i="2"/>
  <c r="O25" i="2"/>
  <c r="P25" i="2"/>
  <c r="O26" i="2"/>
  <c r="P26" i="2"/>
  <c r="O27" i="2"/>
  <c r="P27" i="2"/>
  <c r="O28" i="2"/>
  <c r="P28" i="2"/>
  <c r="O96" i="2" l="1"/>
  <c r="O88" i="2"/>
  <c r="O80" i="2"/>
  <c r="O56" i="2"/>
  <c r="O32" i="2"/>
  <c r="P100" i="2"/>
  <c r="P76" i="2"/>
  <c r="P60" i="2"/>
  <c r="P36" i="2"/>
  <c r="O2" i="2"/>
  <c r="O78" i="2"/>
  <c r="O54" i="2"/>
  <c r="O38" i="2"/>
  <c r="O30" i="2"/>
  <c r="P98" i="2"/>
  <c r="P90" i="2"/>
  <c r="P82" i="2"/>
  <c r="P74" i="2"/>
  <c r="P66" i="2"/>
  <c r="P58" i="2"/>
  <c r="P50" i="2"/>
  <c r="P42" i="2"/>
  <c r="P34" i="2"/>
  <c r="O101" i="2"/>
  <c r="O93" i="2"/>
  <c r="O85" i="2"/>
  <c r="O77" i="2"/>
  <c r="O69" i="2"/>
  <c r="O61" i="2"/>
  <c r="O53" i="2"/>
  <c r="O45" i="2"/>
  <c r="O37" i="2"/>
  <c r="O29" i="2"/>
  <c r="P97" i="2"/>
  <c r="P89" i="2"/>
  <c r="P81" i="2"/>
  <c r="P73" i="2"/>
  <c r="P65" i="2"/>
  <c r="P57" i="2"/>
  <c r="P49" i="2"/>
  <c r="P41" i="2"/>
  <c r="P33" i="2"/>
  <c r="O64" i="2"/>
  <c r="O40" i="2"/>
  <c r="P84" i="2"/>
  <c r="P52" i="2"/>
  <c r="O86" i="2"/>
  <c r="O62" i="2"/>
  <c r="O46" i="2"/>
  <c r="O92" i="2"/>
  <c r="O84" i="2"/>
  <c r="O76" i="2"/>
  <c r="O60" i="2"/>
  <c r="O52" i="2"/>
  <c r="O44" i="2"/>
  <c r="O20" i="2"/>
  <c r="P96" i="2"/>
  <c r="P88" i="2"/>
  <c r="P80" i="2"/>
  <c r="P72" i="2"/>
  <c r="P64" i="2"/>
  <c r="P56" i="2"/>
  <c r="P48" i="2"/>
  <c r="P40" i="2"/>
  <c r="P32" i="2"/>
  <c r="O99" i="2"/>
  <c r="O91" i="2"/>
  <c r="O83" i="2"/>
  <c r="O75" i="2"/>
  <c r="O67" i="2"/>
  <c r="O59" i="2"/>
  <c r="O51" i="2"/>
  <c r="O43" i="2"/>
  <c r="O35" i="2"/>
  <c r="O11" i="2"/>
  <c r="P95" i="2"/>
  <c r="P87" i="2"/>
  <c r="P79" i="2"/>
  <c r="P71" i="2"/>
  <c r="P63" i="2"/>
  <c r="P55" i="2"/>
  <c r="P47" i="2"/>
  <c r="P39" i="2"/>
  <c r="P31" i="2"/>
  <c r="O72" i="2"/>
  <c r="O48" i="2"/>
  <c r="P92" i="2"/>
  <c r="P68" i="2"/>
  <c r="P44" i="2"/>
  <c r="O94" i="2"/>
  <c r="O70" i="2"/>
  <c r="O100" i="2"/>
  <c r="O68" i="2"/>
  <c r="O36" i="2"/>
  <c r="O98" i="2"/>
  <c r="O90" i="2"/>
  <c r="O82" i="2"/>
  <c r="O74" i="2"/>
  <c r="O66" i="2"/>
  <c r="O58" i="2"/>
  <c r="O50" i="2"/>
  <c r="O42" i="2"/>
  <c r="O34" i="2"/>
  <c r="P2" i="2"/>
  <c r="P94" i="2"/>
  <c r="P86" i="2"/>
  <c r="P78" i="2"/>
  <c r="P70" i="2"/>
  <c r="P62" i="2"/>
  <c r="P54" i="2"/>
  <c r="P46" i="2"/>
  <c r="P38" i="2"/>
  <c r="P30" i="2"/>
  <c r="O97" i="2"/>
  <c r="O89" i="2"/>
  <c r="O81" i="2"/>
  <c r="O73" i="2"/>
  <c r="O65" i="2"/>
  <c r="O57" i="2"/>
  <c r="O49" i="2"/>
  <c r="O41" i="2"/>
  <c r="O33" i="2"/>
  <c r="P101" i="2"/>
  <c r="P93" i="2"/>
  <c r="P85" i="2"/>
  <c r="P77" i="2"/>
  <c r="P69" i="2"/>
  <c r="P61" i="2"/>
  <c r="P53" i="2"/>
  <c r="P45" i="2"/>
  <c r="P37" i="2"/>
  <c r="P29" i="2"/>
  <c r="P20" i="2"/>
  <c r="O95" i="2"/>
  <c r="O87" i="2"/>
  <c r="O79" i="2"/>
  <c r="O71" i="2"/>
  <c r="O63" i="2"/>
  <c r="O55" i="2"/>
  <c r="O47" i="2"/>
  <c r="O39" i="2"/>
  <c r="O31" i="2"/>
  <c r="P99" i="2"/>
  <c r="P91" i="2"/>
  <c r="P83" i="2"/>
  <c r="P75" i="2"/>
  <c r="P67" i="2"/>
  <c r="P59" i="2"/>
  <c r="P51" i="2"/>
  <c r="P43" i="2"/>
  <c r="P35" i="2"/>
  <c r="P11" i="2"/>
</calcChain>
</file>

<file path=xl/sharedStrings.xml><?xml version="1.0" encoding="utf-8"?>
<sst xmlns="http://schemas.openxmlformats.org/spreadsheetml/2006/main" count="198" uniqueCount="158">
  <si>
    <t>Channel ID</t>
  </si>
  <si>
    <t>State</t>
  </si>
  <si>
    <t>Incoming</t>
  </si>
  <si>
    <t>Outgoing</t>
  </si>
  <si>
    <t>Tx</t>
  </si>
  <si>
    <t>(millisat)</t>
  </si>
  <si>
    <t>(satoshi)</t>
  </si>
  <si>
    <t>(bit)</t>
  </si>
  <si>
    <t>(bitcoin)</t>
  </si>
  <si>
    <t>Max Incoming</t>
  </si>
  <si>
    <t>Max Outgoing</t>
  </si>
  <si>
    <t>BTC:USD</t>
  </si>
  <si>
    <t>(millibit)</t>
  </si>
  <si>
    <t>Since</t>
  </si>
  <si>
    <t>OFFLINE</t>
  </si>
  <si>
    <t>Locked
Funds</t>
  </si>
  <si>
    <t>Notes</t>
  </si>
  <si>
    <t>NORMAL</t>
  </si>
  <si>
    <t>Online Outgoing</t>
  </si>
  <si>
    <t>Online Incoming</t>
  </si>
  <si>
    <t>Status</t>
  </si>
  <si>
    <t>Node ID</t>
  </si>
  <si>
    <t>03fce165537aea120bffe8505876b44d5119354f825b3eac329b761fc5636bf334</t>
  </si>
  <si>
    <t>030995c0c0217d763c2274aa6ed69a0bb85fa2f7d118f93631550f3b6219a577f5</t>
  </si>
  <si>
    <t>03e50492eab4107a773141bb419e107bda3de3d55652e6e1a41225f06a0bbf2d56</t>
  </si>
  <si>
    <t>034ea80f8b148c750463546bd999bf7321a0e6dfc60aaf84bd0400a2e8d376c0d5</t>
  </si>
  <si>
    <t>03bb88ccc444534da7b5b64b4f7b15e1eccb18e102db0e400d4b9cfe93763aa26d</t>
  </si>
  <si>
    <t>03da1c27ca77872ac5b3e568af30673e599a47a5e4497f85c7b5da42048807b3ed</t>
  </si>
  <si>
    <t>02ad6fb8d693dc1e4569bcedefadf5f72a931ae027dc0f0c544b34c1c6f3b9a02b</t>
  </si>
  <si>
    <t>03c436af41160a355fc1ed230a64f6a64bcbd2ae50f12171d1318f9782602be601</t>
  </si>
  <si>
    <t>0303a518845db99994783f606e6629e705cfaf072e5ce9a4d8bf9e249de4fbd019</t>
  </si>
  <si>
    <t>026bce917a5854f3c5140cc69c977d19a6d656554120b6dedf045b246941b858c5</t>
  </si>
  <si>
    <t>032679fec1213e5b0a23e066c019d7b991b95c6e4d28806b9ebd1362f9e32775cf</t>
  </si>
  <si>
    <t>0219c2f8818bd2124dcc41827b726fd486c13cdfb6edf4e1458194663fb07891c7</t>
  </si>
  <si>
    <t>02c91d6aa51aa940608b497b6beebcb1aec05be3c47704b682b3889424679ca490</t>
  </si>
  <si>
    <t>0331f80652fb840239df8dc99205792bba2e559a05469915804c08420230e23c7c</t>
  </si>
  <si>
    <t>03dab87ff8635982815c4567eb58af48f9944d11c56beb12b91e1049aaea06e187</t>
  </si>
  <si>
    <t>02bb24da3d0fb0793f4918c7599f973cc402f0912ec3fb530470f1fc08bdd6ecb5</t>
  </si>
  <si>
    <t>02247d9db0dfafea745ef8c9e161eb322f73ac3f8858d8730b6fd97254747ce76b</t>
  </si>
  <si>
    <t>021607cfce19a4c5e7e6e738663dfafbbbac262e4ff76c2c9b30dbeefc35c00643</t>
  </si>
  <si>
    <t>022755c3ff4e5a1d71f573cda4b315887fc00a9e5c9ea9a847d939f3e517e69a70</t>
  </si>
  <si>
    <t>03c2abfa93eacec04721c019644584424aab2ba4dff3ac9bdab4e9c97007491dda</t>
  </si>
  <si>
    <t>Out / In</t>
  </si>
  <si>
    <t>Surplus</t>
  </si>
  <si>
    <t>ABS (Sort)</t>
  </si>
  <si>
    <t>Node</t>
  </si>
  <si>
    <t>Relayed</t>
  </si>
  <si>
    <t>Relay Fee</t>
  </si>
  <si>
    <t>Network Fee</t>
  </si>
  <si>
    <t>LightningTo.Me</t>
  </si>
  <si>
    <t>LNBIG.com[lnd-28/old-lnd-22]</t>
  </si>
  <si>
    <t>LNBIG.com[lnd-12]</t>
  </si>
  <si>
    <t>LNBIG.com[lnd-21]</t>
  </si>
  <si>
    <t>LNBIG.com[lnd-07]</t>
  </si>
  <si>
    <t>LNBIG.com[lnd-25]</t>
  </si>
  <si>
    <t>tippin.me</t>
  </si>
  <si>
    <t>yalls.org</t>
  </si>
  <si>
    <t>mainnet.lightningconductor.net</t>
  </si>
  <si>
    <t>ThrobbingSausage</t>
  </si>
  <si>
    <t>LNBIG.com[lnd-03]</t>
  </si>
  <si>
    <t>LightningPowerUsers.com</t>
  </si>
  <si>
    <t>âš¡âš¡NoNoobsâš¡âš¡</t>
  </si>
  <si>
    <t>LNBIG.com[lnd-27/old-lnd-19]</t>
  </si>
  <si>
    <t>rompert.comðŸ”µ</t>
  </si>
  <si>
    <t>ln.BitSoapBox.com</t>
  </si>
  <si>
    <t>LNBIG.com[lnd-34]</t>
  </si>
  <si>
    <t>LNBIG.com[lnd-10]</t>
  </si>
  <si>
    <t>LNBIG.com[lnd-41]</t>
  </si>
  <si>
    <t>LNBIG.com[lnd-26]</t>
  </si>
  <si>
    <t>03864ef025fde8fb587d989186ce6a4a186895ee44a926bfc370e2c366597a3f8f</t>
  </si>
  <si>
    <t>d0905d0c4990ef2cc999306b225d846bc3cff262effc1e9638215985604fb44f</t>
  </si>
  <si>
    <t>CLOSING</t>
  </si>
  <si>
    <t>ACINQ</t>
  </si>
  <si>
    <t>03d06758583bb5154774a6eb221b1276c9e82d65bbaceca806d90e20c108f4b1c7</t>
  </si>
  <si>
    <t>.042 max LN payment</t>
  </si>
  <si>
    <t>WAIT_FOR_FUNDING_CONFIRMED</t>
  </si>
  <si>
    <t>HOW TO USE</t>
  </si>
  <si>
    <t>This file reads API data from 3 separate text documents containing the output from Eclair API calls:</t>
  </si>
  <si>
    <t>channels</t>
  </si>
  <si>
    <t>channelstats</t>
  </si>
  <si>
    <t>AllNodes</t>
  </si>
  <si>
    <t>Modify the direct path in the VBA code to point to the 3 text files.</t>
  </si>
  <si>
    <t>In Excel, click on Developer/View Code</t>
  </si>
  <si>
    <t>In Modules folder, click on READAPI</t>
  </si>
  <si>
    <t>Modify filepaths on 3 lines containing: myFile = "C:\Users....</t>
  </si>
  <si>
    <t>If you know VBA, you could modify the code to correctly read alternate API data to suit your needs.</t>
  </si>
  <si>
    <t>I'm assuming this file will not work with other implementations unless the API calls are standardised.</t>
  </si>
  <si>
    <t>Run the above mentioned API calls and save the outputs in 3 text documents.</t>
  </si>
  <si>
    <t>Enable macros in this workbook.</t>
  </si>
  <si>
    <t>On Dashboard Sheet, click on READ API DATA button. Everything should update, with aliases populating last.</t>
  </si>
  <si>
    <t>Not sure how well it scales, but for 100 channels runtime is approx 4 seconds on a modern PC.</t>
  </si>
  <si>
    <t>How to read the output:</t>
  </si>
  <si>
    <t>Dashboard</t>
  </si>
  <si>
    <t>Columns B thru F: Payment channel data from API call "channels"</t>
  </si>
  <si>
    <t>Column A: aliases, cross-referenced from node ID using API call "AllNodes"</t>
  </si>
  <si>
    <t>You will need to re-run "channels" each time you want updated info</t>
  </si>
  <si>
    <t>You only need to re-run "channelstats" if you want to see updated relay data</t>
  </si>
  <si>
    <t>You rarely need to re-run "AllNodes" simply to update the alias for new nodes or nodes who have changed alias</t>
  </si>
  <si>
    <t>Alternatively, use the adjacent "commented out" lines instead, to open them via dialog box each time</t>
  </si>
  <si>
    <t>Columns G thru I: Relay and fee data from API call "channelstats"</t>
  </si>
  <si>
    <t>Columns J thru P (hidden): Supporting data for Bandwidth chart</t>
  </si>
  <si>
    <t>CHANNEL BALANCE chart: Each bar represents a payment channel, and the RELATIVE funds on both sides, to show how balanced the channel is.</t>
  </si>
  <si>
    <t>The range will need to be manually adjusted by you if you have far more or far fewer channels. I couldn't get it to be a dynamic range.</t>
  </si>
  <si>
    <t>BANDWIDTH chart: The number of channels (Y-axis) that have enough capacity to route a payment of size X (X-axis), and in which direction.</t>
  </si>
  <si>
    <t>A well-balanced node (not necessarily well balanced channels) would have roughly overlapping curves for incoming and outgoing transactions.</t>
  </si>
  <si>
    <t>Stats below Bandwidth chart: Your largest capacity in each direction, and current price of BTC in USD.</t>
  </si>
  <si>
    <t>Only channels in NORMAL state are included - OFFLINE channels can't relay transactions.</t>
  </si>
  <si>
    <t>Channel Watchlist</t>
  </si>
  <si>
    <t>A list of "problem" channels that are in any state other than NORMAL</t>
  </si>
  <si>
    <t>SINCE: How long the channel has been in the current state.</t>
  </si>
  <si>
    <t>This is only the earliest date as seen by the spreadsheet. It isn't reading network data to get this figure.</t>
  </si>
  <si>
    <t>LOCKED FUNDS: The amount of funds (in USD) on your side of this problem channel.</t>
  </si>
  <si>
    <t>If a channel has been offline for a while but no funds are on your side, you may not wish to close it, for example. (Could be someone's mobile wallet.)</t>
  </si>
  <si>
    <t>NOTES: Freeform column for you to add your own notes. (i.e. "This is u/SuperNode from reddit, the guy who is troubleshooting his RasPi. Don't close this channel.")</t>
  </si>
  <si>
    <t>*** If you have a mobile wallet connected to your own Lightning Node, your mobile wallet will often show up on this list if it's OFFLINE,</t>
  </si>
  <si>
    <t xml:space="preserve">   your mobile wallet comes off the list and is put back on again (say you happen to have your mobile wallet running while using this spreadsheet.)</t>
  </si>
  <si>
    <t xml:space="preserve">  In order to keep a perpetual identifier on it, I added a line directly to the VBA code. Find the line and replace ###Your_Payment_Channel_ID_Here###</t>
  </si>
  <si>
    <t xml:space="preserve">   with your PaymentChannelID. This section of code could be copied several times if you'd like to use a custom identifier for any payment channels of special interest.</t>
  </si>
  <si>
    <t xml:space="preserve">   and you'll likely see a large balance of LOCKED FUNDS. (i.e. you're likely to accidentally force close your own channel if you're not paying attention.)</t>
  </si>
  <si>
    <t xml:space="preserve">    If you add a note in the freeform column "This is just my mobile wallet" it will be erased every time that</t>
  </si>
  <si>
    <t>Rebalance</t>
  </si>
  <si>
    <t>A listing of all of your payment channels, ranked by the amount of imbalance (in true BTC value, not by percentage of channel capacity)</t>
  </si>
  <si>
    <t>OUT / IN : RemoteBalance/LocalBalance   Will read from 0% to 100%, with 50% being a perfectly balanced channel (of any capacity).</t>
  </si>
  <si>
    <t>SURPLUS : The amount of excess BTC on your local side beyond a perfect 50% balance. A nagetive value means you need more local funds to achieve balance.</t>
  </si>
  <si>
    <t>*** This page is very helpful for rebalancing channels if you have many channels. Because they are ranked by absolute value of imbalance, you can quickly identify</t>
  </si>
  <si>
    <t xml:space="preserve">   a channel with excess local funds and a complementary channel with nearly equal deficit (opposite sign). Assuming a route can be found for the total amount of the surplus,</t>
  </si>
  <si>
    <t xml:space="preserve">   these 2 channels could be fully balanced in a single transaction. If not, a smaller payment could still be used and each channel would simply fall down in the rankings of imbalance.</t>
  </si>
  <si>
    <t>GITHUB user: STAWKEYE</t>
  </si>
  <si>
    <t>For help,</t>
  </si>
  <si>
    <t>platform9and3quarters</t>
  </si>
  <si>
    <t>02065e25c272203440b66ea0ba66601d1248564554d0a68472b82511af54288120@71.225.72.81:9735</t>
  </si>
  <si>
    <t>LNBIG</t>
  </si>
  <si>
    <t>LNBIGLY</t>
  </si>
  <si>
    <t>LNBIGLYER</t>
  </si>
  <si>
    <t>03e5ea100e6b1ef3959f79627cb575606b19071235c48b3e7f9808ebcd6d12e87d</t>
  </si>
  <si>
    <t>039edc94987c8f3adc28dab455efc00dea876089a120f573bd0b03c40d9d3fb1e1</t>
  </si>
  <si>
    <t>d0950ef2cc999306b225d846bc3cff262effc1e9638215985604fb44f</t>
  </si>
  <si>
    <t>d0905d0c4990ef2c7cff262effc1e9638215985604fb44f</t>
  </si>
  <si>
    <t>d0905d0c4990ef2cc9993078ffc1e9638215985604fb44f</t>
  </si>
  <si>
    <t>SomeGuy</t>
  </si>
  <si>
    <t>ImGone</t>
  </si>
  <si>
    <t>DudeBro</t>
  </si>
  <si>
    <t>Node3</t>
  </si>
  <si>
    <t>AnotherNode</t>
  </si>
  <si>
    <t>SuperNode</t>
  </si>
  <si>
    <t>784gf4gw8f7g4w87fg794fg4</t>
  </si>
  <si>
    <t>84f7egw4f74v74bv49vb49v4bhe</t>
  </si>
  <si>
    <t>9f4p7vfhb4e9pvh489pvhb48v9bv4</t>
  </si>
  <si>
    <t>vhb4oehvf894hbv48vb4s8;v4</t>
  </si>
  <si>
    <t>hv89nh84p9vnh4s8nv84s</t>
  </si>
  <si>
    <t>vhoz4s8vhn4o8nhvh4osvnh4</t>
  </si>
  <si>
    <t>784hf7w4bhv948cvh48svh48ps4hv</t>
  </si>
  <si>
    <t>zisvbh4si7hbv784bh8h348hcohs;3c</t>
  </si>
  <si>
    <t>48vgs48shv48hfs84ph;v9ss4hvs490hvs49hv4</t>
  </si>
  <si>
    <t>49h848hvc4o;hcvs49hv48ovh4;o8v4hv4</t>
  </si>
  <si>
    <t>v4sh8vh48oh3;o8hf2;9h27ih3;9h34fs3h</t>
  </si>
  <si>
    <t>a6i3df62fqx2i6fdkUXbgix6a&amp;FBUXBAf2</t>
  </si>
  <si>
    <t>784hf7w4bhv948cvh48svh48ps4hv784hf7w4bhv948cvh48svh48ps4hv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</si>
</sst>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0.00000000"/>
    <numFmt numFmtId="165" formatCode="0.00000000000"/>
    <numFmt numFmtId="166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8"/>
      <color theme="3"/>
      <name val="Calibri Light"/>
      <family val="2"/>
      <scheme val="major"/>
    </font>
    <font>
      <sz val="11"/>
      <color rgb="FF000000"/>
      <name val="Calibri"/>
      <family val="2"/>
    </font>
    <font>
      <sz val="16"/>
      <color theme="3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165" fontId="3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/>
    </xf>
    <xf numFmtId="165" fontId="2" fillId="0" borderId="1" xfId="0" quotePrefix="1" applyNumberFormat="1" applyFont="1" applyBorder="1" applyAlignment="1">
      <alignment horizontal="center"/>
    </xf>
    <xf numFmtId="165" fontId="0" fillId="0" borderId="2" xfId="0" applyNumberFormat="1" applyBorder="1" applyAlignment="1">
      <alignment horizontal="center"/>
    </xf>
    <xf numFmtId="44" fontId="0" fillId="0" borderId="3" xfId="1" applyFont="1" applyBorder="1" applyAlignment="1">
      <alignment horizontal="center"/>
    </xf>
    <xf numFmtId="166" fontId="0" fillId="0" borderId="3" xfId="1" applyNumberFormat="1" applyFont="1" applyBorder="1" applyAlignment="1">
      <alignment horizontal="center"/>
    </xf>
    <xf numFmtId="0" fontId="0" fillId="0" borderId="0" xfId="0" quotePrefix="1"/>
    <xf numFmtId="44" fontId="0" fillId="0" borderId="0" xfId="1" applyFont="1"/>
    <xf numFmtId="0" fontId="7" fillId="0" borderId="0" xfId="2" applyFont="1" applyAlignment="1">
      <alignment horizontal="center"/>
    </xf>
    <xf numFmtId="165" fontId="7" fillId="0" borderId="0" xfId="2" applyNumberFormat="1" applyFont="1"/>
    <xf numFmtId="165" fontId="7" fillId="0" borderId="0" xfId="2" applyNumberFormat="1" applyFont="1" applyAlignment="1">
      <alignment horizontal="center"/>
    </xf>
    <xf numFmtId="1" fontId="7" fillId="0" borderId="0" xfId="2" applyNumberFormat="1" applyFont="1" applyAlignment="1">
      <alignment horizontal="center"/>
    </xf>
    <xf numFmtId="0" fontId="7" fillId="0" borderId="0" xfId="2" applyFont="1"/>
    <xf numFmtId="14" fontId="0" fillId="0" borderId="0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11" fontId="0" fillId="0" borderId="0" xfId="0" applyNumberFormat="1"/>
    <xf numFmtId="9" fontId="0" fillId="0" borderId="0" xfId="3" applyFont="1"/>
    <xf numFmtId="165" fontId="7" fillId="0" borderId="0" xfId="2" applyNumberFormat="1" applyFont="1" applyAlignment="1">
      <alignment horizontal="center" wrapText="1"/>
    </xf>
    <xf numFmtId="0" fontId="0" fillId="0" borderId="0" xfId="0" applyBorder="1"/>
    <xf numFmtId="9" fontId="0" fillId="0" borderId="0" xfId="3" applyFont="1" applyBorder="1"/>
    <xf numFmtId="165" fontId="0" fillId="0" borderId="0" xfId="0" applyNumberFormat="1" applyBorder="1"/>
    <xf numFmtId="0" fontId="0" fillId="0" borderId="0" xfId="0" quotePrefix="1" applyBorder="1"/>
  </cellXfs>
  <cellStyles count="4">
    <cellStyle name="Currency" xfId="1" builtinId="4"/>
    <cellStyle name="Normal" xfId="0" builtinId="0"/>
    <cellStyle name="Percent" xfId="3" builtinId="5"/>
    <cellStyle name="Title" xfId="2" builtinId="15"/>
  </cellStyles>
  <dxfs count="4">
    <dxf>
      <font>
        <color rgb="FF00B050"/>
      </font>
    </dxf>
    <dxf>
      <font>
        <color theme="9" tint="-0.24994659260841701"/>
      </font>
    </dxf>
    <dxf>
      <font>
        <color theme="5" tint="-0.24994659260841701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CHANNEL 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strRef>
              <c:f>Dashboard!$E$1</c:f>
              <c:strCache>
                <c:ptCount val="1"/>
                <c:pt idx="0">
                  <c:v>Outgoing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Dashboard!$E$2:$E$51</c:f>
              <c:numCache>
                <c:formatCode>0.00000000000</c:formatCode>
                <c:ptCount val="50"/>
                <c:pt idx="0">
                  <c:v>7.981576574999999E-2</c:v>
                </c:pt>
                <c:pt idx="1">
                  <c:v>5.0000000000000001E-3</c:v>
                </c:pt>
                <c:pt idx="2">
                  <c:v>0.03</c:v>
                </c:pt>
                <c:pt idx="3">
                  <c:v>0.1</c:v>
                </c:pt>
              </c:numCache>
            </c:numRef>
          </c:val>
        </c:ser>
        <c:ser>
          <c:idx val="0"/>
          <c:order val="1"/>
          <c:tx>
            <c:strRef>
              <c:f>Dashboard!$F$1</c:f>
              <c:strCache>
                <c:ptCount val="1"/>
                <c:pt idx="0">
                  <c:v>Incoming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Dashboard!$F$2:$F$51</c:f>
              <c:numCache>
                <c:formatCode>0.00000000000</c:formatCode>
                <c:ptCount val="50"/>
                <c:pt idx="0">
                  <c:v>8.7884234249999998E-2</c:v>
                </c:pt>
                <c:pt idx="1">
                  <c:v>0.03</c:v>
                </c:pt>
                <c:pt idx="2">
                  <c:v>3.0000000000000001E-3</c:v>
                </c:pt>
                <c:pt idx="3">
                  <c:v>0.05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772754448"/>
        <c:axId val="772756016"/>
      </c:barChart>
      <c:catAx>
        <c:axId val="772754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756016"/>
        <c:crosses val="autoZero"/>
        <c:auto val="1"/>
        <c:lblAlgn val="ctr"/>
        <c:lblOffset val="100"/>
        <c:noMultiLvlLbl val="0"/>
      </c:catAx>
      <c:valAx>
        <c:axId val="77275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754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BANDWIDTH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Dashboard!$O$1</c:f>
              <c:strCache>
                <c:ptCount val="1"/>
                <c:pt idx="0">
                  <c:v>Outgoing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Dashboard!$O$2:$O$101</c:f>
              <c:numCache>
                <c:formatCode>0</c:formatCode>
                <c:ptCount val="100"/>
                <c:pt idx="0">
                  <c:v>44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44</c:v>
                </c:pt>
                <c:pt idx="5">
                  <c:v>44</c:v>
                </c:pt>
                <c:pt idx="6">
                  <c:v>44</c:v>
                </c:pt>
                <c:pt idx="7">
                  <c:v>44</c:v>
                </c:pt>
                <c:pt idx="8">
                  <c:v>44</c:v>
                </c:pt>
                <c:pt idx="9">
                  <c:v>44</c:v>
                </c:pt>
                <c:pt idx="10">
                  <c:v>44</c:v>
                </c:pt>
                <c:pt idx="11">
                  <c:v>44</c:v>
                </c:pt>
                <c:pt idx="12">
                  <c:v>44</c:v>
                </c:pt>
                <c:pt idx="13">
                  <c:v>44</c:v>
                </c:pt>
                <c:pt idx="14">
                  <c:v>44</c:v>
                </c:pt>
                <c:pt idx="15">
                  <c:v>44</c:v>
                </c:pt>
                <c:pt idx="16">
                  <c:v>44</c:v>
                </c:pt>
                <c:pt idx="17">
                  <c:v>44</c:v>
                </c:pt>
                <c:pt idx="18">
                  <c:v>44</c:v>
                </c:pt>
                <c:pt idx="19">
                  <c:v>44</c:v>
                </c:pt>
                <c:pt idx="20">
                  <c:v>44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44</c:v>
                </c:pt>
                <c:pt idx="25">
                  <c:v>44</c:v>
                </c:pt>
                <c:pt idx="26">
                  <c:v>44</c:v>
                </c:pt>
                <c:pt idx="27">
                  <c:v>44</c:v>
                </c:pt>
                <c:pt idx="28">
                  <c:v>44</c:v>
                </c:pt>
                <c:pt idx="29">
                  <c:v>44</c:v>
                </c:pt>
                <c:pt idx="30">
                  <c:v>44</c:v>
                </c:pt>
                <c:pt idx="31">
                  <c:v>44</c:v>
                </c:pt>
                <c:pt idx="32">
                  <c:v>44</c:v>
                </c:pt>
                <c:pt idx="33">
                  <c:v>44</c:v>
                </c:pt>
                <c:pt idx="34">
                  <c:v>44</c:v>
                </c:pt>
                <c:pt idx="35">
                  <c:v>44</c:v>
                </c:pt>
                <c:pt idx="36">
                  <c:v>44</c:v>
                </c:pt>
                <c:pt idx="37">
                  <c:v>44</c:v>
                </c:pt>
                <c:pt idx="38">
                  <c:v>44</c:v>
                </c:pt>
                <c:pt idx="39">
                  <c:v>44</c:v>
                </c:pt>
                <c:pt idx="40">
                  <c:v>44</c:v>
                </c:pt>
                <c:pt idx="41">
                  <c:v>44</c:v>
                </c:pt>
                <c:pt idx="42">
                  <c:v>44</c:v>
                </c:pt>
                <c:pt idx="43">
                  <c:v>44</c:v>
                </c:pt>
                <c:pt idx="44">
                  <c:v>44</c:v>
                </c:pt>
                <c:pt idx="45">
                  <c:v>44</c:v>
                </c:pt>
                <c:pt idx="46">
                  <c:v>44</c:v>
                </c:pt>
                <c:pt idx="47">
                  <c:v>44</c:v>
                </c:pt>
                <c:pt idx="48">
                  <c:v>44</c:v>
                </c:pt>
                <c:pt idx="49">
                  <c:v>44</c:v>
                </c:pt>
                <c:pt idx="50">
                  <c:v>44</c:v>
                </c:pt>
                <c:pt idx="51">
                  <c:v>44</c:v>
                </c:pt>
                <c:pt idx="52">
                  <c:v>44</c:v>
                </c:pt>
                <c:pt idx="53">
                  <c:v>44</c:v>
                </c:pt>
                <c:pt idx="54">
                  <c:v>44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41</c:v>
                </c:pt>
                <c:pt idx="67">
                  <c:v>40</c:v>
                </c:pt>
                <c:pt idx="68">
                  <c:v>37</c:v>
                </c:pt>
                <c:pt idx="69">
                  <c:v>37</c:v>
                </c:pt>
                <c:pt idx="70">
                  <c:v>36</c:v>
                </c:pt>
                <c:pt idx="71">
                  <c:v>35</c:v>
                </c:pt>
                <c:pt idx="72">
                  <c:v>35</c:v>
                </c:pt>
                <c:pt idx="73">
                  <c:v>29</c:v>
                </c:pt>
                <c:pt idx="74">
                  <c:v>24</c:v>
                </c:pt>
                <c:pt idx="75">
                  <c:v>22</c:v>
                </c:pt>
                <c:pt idx="76">
                  <c:v>21</c:v>
                </c:pt>
                <c:pt idx="77">
                  <c:v>20</c:v>
                </c:pt>
                <c:pt idx="78">
                  <c:v>19</c:v>
                </c:pt>
                <c:pt idx="79">
                  <c:v>18</c:v>
                </c:pt>
                <c:pt idx="80">
                  <c:v>17</c:v>
                </c:pt>
                <c:pt idx="81">
                  <c:v>13</c:v>
                </c:pt>
                <c:pt idx="82">
                  <c:v>8</c:v>
                </c:pt>
                <c:pt idx="83">
                  <c:v>3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Dashboard!$P$1</c:f>
              <c:strCache>
                <c:ptCount val="1"/>
                <c:pt idx="0">
                  <c:v>Incoming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Dashboard!$N$2:$N$101</c:f>
              <c:numCache>
                <c:formatCode>0.00000000000</c:formatCode>
                <c:ptCount val="100"/>
                <c:pt idx="0">
                  <c:v>9.9999999999999994E-12</c:v>
                </c:pt>
                <c:pt idx="1">
                  <c:v>1.9999999999999999E-11</c:v>
                </c:pt>
                <c:pt idx="2">
                  <c:v>3E-11</c:v>
                </c:pt>
                <c:pt idx="3">
                  <c:v>3.9999999999999998E-11</c:v>
                </c:pt>
                <c:pt idx="4">
                  <c:v>5.0000000000000002E-11</c:v>
                </c:pt>
                <c:pt idx="5">
                  <c:v>6E-11</c:v>
                </c:pt>
                <c:pt idx="6">
                  <c:v>7.0000000000000004E-11</c:v>
                </c:pt>
                <c:pt idx="7">
                  <c:v>7.9999999999999995E-11</c:v>
                </c:pt>
                <c:pt idx="8">
                  <c:v>8.9999999999999999E-11</c:v>
                </c:pt>
                <c:pt idx="9">
                  <c:v>9.9999999999999991E-11</c:v>
                </c:pt>
                <c:pt idx="10">
                  <c:v>1.9999999999999998E-10</c:v>
                </c:pt>
                <c:pt idx="11">
                  <c:v>3E-10</c:v>
                </c:pt>
                <c:pt idx="12">
                  <c:v>3.9999999999999996E-10</c:v>
                </c:pt>
                <c:pt idx="13">
                  <c:v>5.0000000000000003E-10</c:v>
                </c:pt>
                <c:pt idx="14">
                  <c:v>6E-10</c:v>
                </c:pt>
                <c:pt idx="15">
                  <c:v>7.0000000000000006E-10</c:v>
                </c:pt>
                <c:pt idx="16">
                  <c:v>7.9999999999999993E-10</c:v>
                </c:pt>
                <c:pt idx="17">
                  <c:v>8.9999999999999999E-10</c:v>
                </c:pt>
                <c:pt idx="18">
                  <c:v>9.9999999999999986E-10</c:v>
                </c:pt>
                <c:pt idx="19">
                  <c:v>1.9999999999999997E-9</c:v>
                </c:pt>
                <c:pt idx="20">
                  <c:v>3E-9</c:v>
                </c:pt>
                <c:pt idx="21">
                  <c:v>3.9999999999999994E-9</c:v>
                </c:pt>
                <c:pt idx="22">
                  <c:v>5.0000000000000001E-9</c:v>
                </c:pt>
                <c:pt idx="23">
                  <c:v>6E-9</c:v>
                </c:pt>
                <c:pt idx="24">
                  <c:v>7.0000000000000006E-9</c:v>
                </c:pt>
                <c:pt idx="25">
                  <c:v>7.9999999999999988E-9</c:v>
                </c:pt>
                <c:pt idx="26">
                  <c:v>8.9999999999999995E-9</c:v>
                </c:pt>
                <c:pt idx="27">
                  <c:v>9.9999999999999986E-9</c:v>
                </c:pt>
                <c:pt idx="28">
                  <c:v>1.9999999999999997E-8</c:v>
                </c:pt>
                <c:pt idx="29">
                  <c:v>2.9999999999999997E-8</c:v>
                </c:pt>
                <c:pt idx="30">
                  <c:v>3.9999999999999994E-8</c:v>
                </c:pt>
                <c:pt idx="31">
                  <c:v>4.9999999999999998E-8</c:v>
                </c:pt>
                <c:pt idx="32">
                  <c:v>5.9999999999999995E-8</c:v>
                </c:pt>
                <c:pt idx="33">
                  <c:v>7.0000000000000005E-8</c:v>
                </c:pt>
                <c:pt idx="34">
                  <c:v>7.9999999999999988E-8</c:v>
                </c:pt>
                <c:pt idx="35">
                  <c:v>8.9999999999999999E-8</c:v>
                </c:pt>
                <c:pt idx="36">
                  <c:v>9.9999999999999982E-8</c:v>
                </c:pt>
                <c:pt idx="37">
                  <c:v>1.9999999999999996E-7</c:v>
                </c:pt>
                <c:pt idx="38">
                  <c:v>2.9999999999999999E-7</c:v>
                </c:pt>
                <c:pt idx="39">
                  <c:v>3.9999999999999993E-7</c:v>
                </c:pt>
                <c:pt idx="40">
                  <c:v>4.9999999999999998E-7</c:v>
                </c:pt>
                <c:pt idx="41">
                  <c:v>5.9999999999999997E-7</c:v>
                </c:pt>
                <c:pt idx="42">
                  <c:v>7.0000000000000007E-7</c:v>
                </c:pt>
                <c:pt idx="43">
                  <c:v>7.9999999999999986E-7</c:v>
                </c:pt>
                <c:pt idx="44">
                  <c:v>8.9999999999999996E-7</c:v>
                </c:pt>
                <c:pt idx="45">
                  <c:v>9.9999999999999974E-7</c:v>
                </c:pt>
                <c:pt idx="46">
                  <c:v>1.9999999999999995E-6</c:v>
                </c:pt>
                <c:pt idx="47">
                  <c:v>3.0000000000000001E-6</c:v>
                </c:pt>
                <c:pt idx="48">
                  <c:v>3.999999999999999E-6</c:v>
                </c:pt>
                <c:pt idx="49">
                  <c:v>4.9999999999999996E-6</c:v>
                </c:pt>
                <c:pt idx="50">
                  <c:v>6.0000000000000002E-6</c:v>
                </c:pt>
                <c:pt idx="51">
                  <c:v>7.0000000000000007E-6</c:v>
                </c:pt>
                <c:pt idx="52">
                  <c:v>7.9999999999999979E-6</c:v>
                </c:pt>
                <c:pt idx="53">
                  <c:v>9.0000000000000002E-6</c:v>
                </c:pt>
                <c:pt idx="54">
                  <c:v>9.9999999999999974E-6</c:v>
                </c:pt>
                <c:pt idx="55">
                  <c:v>1.9999999999999995E-5</c:v>
                </c:pt>
                <c:pt idx="56">
                  <c:v>3.0000000000000001E-5</c:v>
                </c:pt>
                <c:pt idx="57">
                  <c:v>3.999999999999999E-5</c:v>
                </c:pt>
                <c:pt idx="58">
                  <c:v>4.9999999999999996E-5</c:v>
                </c:pt>
                <c:pt idx="59">
                  <c:v>6.0000000000000002E-5</c:v>
                </c:pt>
                <c:pt idx="60">
                  <c:v>7.0000000000000007E-5</c:v>
                </c:pt>
                <c:pt idx="61">
                  <c:v>7.9999999999999979E-5</c:v>
                </c:pt>
                <c:pt idx="62">
                  <c:v>9.0000000000000006E-5</c:v>
                </c:pt>
                <c:pt idx="63">
                  <c:v>9.9999999999999978E-5</c:v>
                </c:pt>
                <c:pt idx="64">
                  <c:v>1.9999999999999996E-4</c:v>
                </c:pt>
                <c:pt idx="65">
                  <c:v>3.0000000000000003E-4</c:v>
                </c:pt>
                <c:pt idx="66">
                  <c:v>3.9999999999999991E-4</c:v>
                </c:pt>
                <c:pt idx="67">
                  <c:v>5.0000000000000001E-4</c:v>
                </c:pt>
                <c:pt idx="68">
                  <c:v>6.0000000000000006E-4</c:v>
                </c:pt>
                <c:pt idx="69">
                  <c:v>7.000000000000001E-4</c:v>
                </c:pt>
                <c:pt idx="70">
                  <c:v>7.9999999999999982E-4</c:v>
                </c:pt>
                <c:pt idx="71">
                  <c:v>9.0000000000000008E-4</c:v>
                </c:pt>
                <c:pt idx="72">
                  <c:v>9.999999999999998E-4</c:v>
                </c:pt>
                <c:pt idx="73">
                  <c:v>1.9999999999999996E-3</c:v>
                </c:pt>
                <c:pt idx="74">
                  <c:v>3.0000000000000001E-3</c:v>
                </c:pt>
                <c:pt idx="75">
                  <c:v>3.9999999999999992E-3</c:v>
                </c:pt>
                <c:pt idx="76">
                  <c:v>5.0000000000000001E-3</c:v>
                </c:pt>
                <c:pt idx="77">
                  <c:v>6.0000000000000001E-3</c:v>
                </c:pt>
                <c:pt idx="78">
                  <c:v>7.000000000000001E-3</c:v>
                </c:pt>
                <c:pt idx="79">
                  <c:v>7.9999999999999984E-3</c:v>
                </c:pt>
                <c:pt idx="80">
                  <c:v>9.0000000000000011E-3</c:v>
                </c:pt>
                <c:pt idx="81">
                  <c:v>9.9999999999999985E-3</c:v>
                </c:pt>
                <c:pt idx="82">
                  <c:v>1.9999999999999997E-2</c:v>
                </c:pt>
                <c:pt idx="83">
                  <c:v>0.03</c:v>
                </c:pt>
                <c:pt idx="84">
                  <c:v>4.1300000000000003E-2</c:v>
                </c:pt>
                <c:pt idx="85">
                  <c:v>0.05</c:v>
                </c:pt>
                <c:pt idx="86">
                  <c:v>0.06</c:v>
                </c:pt>
                <c:pt idx="87">
                  <c:v>7.0000000000000007E-2</c:v>
                </c:pt>
                <c:pt idx="88">
                  <c:v>7.9999999999999988E-2</c:v>
                </c:pt>
                <c:pt idx="89">
                  <c:v>9.0000000000000011E-2</c:v>
                </c:pt>
                <c:pt idx="90">
                  <c:v>9.9999999999999978E-2</c:v>
                </c:pt>
                <c:pt idx="91">
                  <c:v>0.11</c:v>
                </c:pt>
                <c:pt idx="92">
                  <c:v>0.12</c:v>
                </c:pt>
                <c:pt idx="93">
                  <c:v>0.13</c:v>
                </c:pt>
                <c:pt idx="94">
                  <c:v>0.14000000000000001</c:v>
                </c:pt>
                <c:pt idx="95">
                  <c:v>0.15</c:v>
                </c:pt>
                <c:pt idx="96">
                  <c:v>0.16</c:v>
                </c:pt>
                <c:pt idx="97">
                  <c:v>0.17</c:v>
                </c:pt>
                <c:pt idx="98">
                  <c:v>0.90000000000000013</c:v>
                </c:pt>
                <c:pt idx="99">
                  <c:v>0.99999999999999978</c:v>
                </c:pt>
              </c:numCache>
            </c:numRef>
          </c:xVal>
          <c:yVal>
            <c:numRef>
              <c:f>Dashboard!$P$2:$P$101</c:f>
              <c:numCache>
                <c:formatCode>0</c:formatCode>
                <c:ptCount val="10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46</c:v>
                </c:pt>
                <c:pt idx="36">
                  <c:v>46</c:v>
                </c:pt>
                <c:pt idx="37">
                  <c:v>46</c:v>
                </c:pt>
                <c:pt idx="38">
                  <c:v>46</c:v>
                </c:pt>
                <c:pt idx="39">
                  <c:v>46</c:v>
                </c:pt>
                <c:pt idx="40">
                  <c:v>46</c:v>
                </c:pt>
                <c:pt idx="41">
                  <c:v>46</c:v>
                </c:pt>
                <c:pt idx="42">
                  <c:v>46</c:v>
                </c:pt>
                <c:pt idx="43">
                  <c:v>46</c:v>
                </c:pt>
                <c:pt idx="44">
                  <c:v>46</c:v>
                </c:pt>
                <c:pt idx="45">
                  <c:v>46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46</c:v>
                </c:pt>
                <c:pt idx="57">
                  <c:v>46</c:v>
                </c:pt>
                <c:pt idx="58">
                  <c:v>46</c:v>
                </c:pt>
                <c:pt idx="59">
                  <c:v>46</c:v>
                </c:pt>
                <c:pt idx="60">
                  <c:v>46</c:v>
                </c:pt>
                <c:pt idx="61">
                  <c:v>46</c:v>
                </c:pt>
                <c:pt idx="62">
                  <c:v>46</c:v>
                </c:pt>
                <c:pt idx="63">
                  <c:v>46</c:v>
                </c:pt>
                <c:pt idx="64">
                  <c:v>46</c:v>
                </c:pt>
                <c:pt idx="65">
                  <c:v>45</c:v>
                </c:pt>
                <c:pt idx="66">
                  <c:v>44</c:v>
                </c:pt>
                <c:pt idx="67">
                  <c:v>43</c:v>
                </c:pt>
                <c:pt idx="68">
                  <c:v>41</c:v>
                </c:pt>
                <c:pt idx="69">
                  <c:v>41</c:v>
                </c:pt>
                <c:pt idx="70">
                  <c:v>41</c:v>
                </c:pt>
                <c:pt idx="71">
                  <c:v>41</c:v>
                </c:pt>
                <c:pt idx="72">
                  <c:v>40</c:v>
                </c:pt>
                <c:pt idx="73">
                  <c:v>36</c:v>
                </c:pt>
                <c:pt idx="74">
                  <c:v>33</c:v>
                </c:pt>
                <c:pt idx="75">
                  <c:v>30</c:v>
                </c:pt>
                <c:pt idx="76">
                  <c:v>29</c:v>
                </c:pt>
                <c:pt idx="77">
                  <c:v>29</c:v>
                </c:pt>
                <c:pt idx="78">
                  <c:v>29</c:v>
                </c:pt>
                <c:pt idx="79">
                  <c:v>29</c:v>
                </c:pt>
                <c:pt idx="80">
                  <c:v>26</c:v>
                </c:pt>
                <c:pt idx="81">
                  <c:v>22</c:v>
                </c:pt>
                <c:pt idx="82">
                  <c:v>17</c:v>
                </c:pt>
                <c:pt idx="83">
                  <c:v>10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3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2756800"/>
        <c:axId val="772757192"/>
      </c:scatterChart>
      <c:valAx>
        <c:axId val="772756800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aseline="0"/>
                  <a:t>TRANSACTION SIZE [BTC]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757192"/>
        <c:crosses val="autoZero"/>
        <c:crossBetween val="midCat"/>
        <c:majorUnit val="10"/>
      </c:valAx>
      <c:valAx>
        <c:axId val="77275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CAPABLE CHANNELS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756800"/>
        <c:crossesAt val="1.0000000000000006E-11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1009650</xdr:colOff>
          <xdr:row>33</xdr:row>
          <xdr:rowOff>47625</xdr:rowOff>
        </xdr:from>
        <xdr:to>
          <xdr:col>24</xdr:col>
          <xdr:colOff>28575</xdr:colOff>
          <xdr:row>35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API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33336</xdr:colOff>
      <xdr:row>1</xdr:row>
      <xdr:rowOff>95250</xdr:rowOff>
    </xdr:from>
    <xdr:to>
      <xdr:col>25</xdr:col>
      <xdr:colOff>914399</xdr:colOff>
      <xdr:row>10</xdr:row>
      <xdr:rowOff>104775</xdr:rowOff>
    </xdr:to>
    <xdr:graphicFrame macro="">
      <xdr:nvGraphicFramePr>
        <xdr:cNvPr id="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23813</xdr:colOff>
      <xdr:row>11</xdr:row>
      <xdr:rowOff>38100</xdr:rowOff>
    </xdr:from>
    <xdr:to>
      <xdr:col>25</xdr:col>
      <xdr:colOff>923925</xdr:colOff>
      <xdr:row>32</xdr:row>
      <xdr:rowOff>104775</xdr:rowOff>
    </xdr:to>
    <xdr:graphicFrame macro="">
      <xdr:nvGraphicFramePr>
        <xdr:cNvPr id="5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6"/>
  <sheetViews>
    <sheetView tabSelected="1" workbookViewId="0">
      <selection activeCell="H4" sqref="H4"/>
    </sheetView>
  </sheetViews>
  <sheetFormatPr defaultRowHeight="15" x14ac:dyDescent="0.25"/>
  <sheetData>
    <row r="1" spans="1:2" x14ac:dyDescent="0.25">
      <c r="A1" t="s">
        <v>76</v>
      </c>
    </row>
    <row r="3" spans="1:2" x14ac:dyDescent="0.25">
      <c r="A3" s="11" t="s">
        <v>77</v>
      </c>
    </row>
    <row r="4" spans="1:2" x14ac:dyDescent="0.25">
      <c r="B4" t="s">
        <v>78</v>
      </c>
    </row>
    <row r="5" spans="1:2" x14ac:dyDescent="0.25">
      <c r="B5" t="s">
        <v>79</v>
      </c>
    </row>
    <row r="6" spans="1:2" x14ac:dyDescent="0.25">
      <c r="B6" t="s">
        <v>80</v>
      </c>
    </row>
    <row r="7" spans="1:2" x14ac:dyDescent="0.25">
      <c r="A7" t="s">
        <v>86</v>
      </c>
    </row>
    <row r="8" spans="1:2" x14ac:dyDescent="0.25">
      <c r="A8" t="s">
        <v>85</v>
      </c>
    </row>
    <row r="10" spans="1:2" x14ac:dyDescent="0.25">
      <c r="A10" t="s">
        <v>87</v>
      </c>
    </row>
    <row r="11" spans="1:2" x14ac:dyDescent="0.25">
      <c r="B11" t="s">
        <v>95</v>
      </c>
    </row>
    <row r="12" spans="1:2" x14ac:dyDescent="0.25">
      <c r="B12" t="s">
        <v>96</v>
      </c>
    </row>
    <row r="13" spans="1:2" x14ac:dyDescent="0.25">
      <c r="B13" t="s">
        <v>97</v>
      </c>
    </row>
    <row r="15" spans="1:2" x14ac:dyDescent="0.25">
      <c r="A15" t="s">
        <v>88</v>
      </c>
    </row>
    <row r="17" spans="1:3" x14ac:dyDescent="0.25">
      <c r="A17" t="s">
        <v>81</v>
      </c>
    </row>
    <row r="18" spans="1:3" x14ac:dyDescent="0.25">
      <c r="B18" t="s">
        <v>82</v>
      </c>
    </row>
    <row r="19" spans="1:3" x14ac:dyDescent="0.25">
      <c r="B19" t="s">
        <v>83</v>
      </c>
    </row>
    <row r="20" spans="1:3" x14ac:dyDescent="0.25">
      <c r="B20" t="s">
        <v>84</v>
      </c>
    </row>
    <row r="21" spans="1:3" x14ac:dyDescent="0.25">
      <c r="B21" t="s">
        <v>98</v>
      </c>
    </row>
    <row r="23" spans="1:3" x14ac:dyDescent="0.25">
      <c r="A23" t="s">
        <v>89</v>
      </c>
    </row>
    <row r="24" spans="1:3" x14ac:dyDescent="0.25">
      <c r="A24" t="s">
        <v>90</v>
      </c>
    </row>
    <row r="26" spans="1:3" x14ac:dyDescent="0.25">
      <c r="A26" t="s">
        <v>91</v>
      </c>
    </row>
    <row r="28" spans="1:3" x14ac:dyDescent="0.25">
      <c r="B28" t="s">
        <v>92</v>
      </c>
    </row>
    <row r="29" spans="1:3" x14ac:dyDescent="0.25">
      <c r="C29" t="s">
        <v>93</v>
      </c>
    </row>
    <row r="30" spans="1:3" x14ac:dyDescent="0.25">
      <c r="C30" t="s">
        <v>94</v>
      </c>
    </row>
    <row r="31" spans="1:3" x14ac:dyDescent="0.25">
      <c r="C31" t="s">
        <v>99</v>
      </c>
    </row>
    <row r="32" spans="1:3" x14ac:dyDescent="0.25">
      <c r="C32" t="s">
        <v>100</v>
      </c>
    </row>
    <row r="33" spans="2:4" x14ac:dyDescent="0.25">
      <c r="C33" t="s">
        <v>101</v>
      </c>
    </row>
    <row r="34" spans="2:4" x14ac:dyDescent="0.25">
      <c r="D34" t="s">
        <v>102</v>
      </c>
    </row>
    <row r="35" spans="2:4" x14ac:dyDescent="0.25">
      <c r="C35" t="s">
        <v>103</v>
      </c>
    </row>
    <row r="36" spans="2:4" x14ac:dyDescent="0.25">
      <c r="D36" t="s">
        <v>104</v>
      </c>
    </row>
    <row r="37" spans="2:4" x14ac:dyDescent="0.25">
      <c r="D37" t="s">
        <v>106</v>
      </c>
    </row>
    <row r="38" spans="2:4" x14ac:dyDescent="0.25">
      <c r="C38" t="s">
        <v>105</v>
      </c>
    </row>
    <row r="40" spans="2:4" x14ac:dyDescent="0.25">
      <c r="B40" t="s">
        <v>107</v>
      </c>
    </row>
    <row r="41" spans="2:4" x14ac:dyDescent="0.25">
      <c r="C41" t="s">
        <v>108</v>
      </c>
    </row>
    <row r="42" spans="2:4" x14ac:dyDescent="0.25">
      <c r="C42" t="s">
        <v>109</v>
      </c>
    </row>
    <row r="43" spans="2:4" x14ac:dyDescent="0.25">
      <c r="D43" t="s">
        <v>110</v>
      </c>
    </row>
    <row r="44" spans="2:4" x14ac:dyDescent="0.25">
      <c r="C44" t="s">
        <v>111</v>
      </c>
    </row>
    <row r="45" spans="2:4" x14ac:dyDescent="0.25">
      <c r="D45" t="s">
        <v>112</v>
      </c>
    </row>
    <row r="46" spans="2:4" x14ac:dyDescent="0.25">
      <c r="C46" t="s">
        <v>113</v>
      </c>
    </row>
    <row r="48" spans="2:4" x14ac:dyDescent="0.25">
      <c r="C48" s="11" t="s">
        <v>114</v>
      </c>
    </row>
    <row r="49" spans="2:3" x14ac:dyDescent="0.25">
      <c r="C49" t="s">
        <v>118</v>
      </c>
    </row>
    <row r="50" spans="2:3" x14ac:dyDescent="0.25">
      <c r="C50" t="s">
        <v>119</v>
      </c>
    </row>
    <row r="51" spans="2:3" x14ac:dyDescent="0.25">
      <c r="C51" t="s">
        <v>115</v>
      </c>
    </row>
    <row r="52" spans="2:3" x14ac:dyDescent="0.25">
      <c r="C52" t="s">
        <v>116</v>
      </c>
    </row>
    <row r="53" spans="2:3" x14ac:dyDescent="0.25">
      <c r="C53" t="s">
        <v>117</v>
      </c>
    </row>
    <row r="55" spans="2:3" x14ac:dyDescent="0.25">
      <c r="B55" t="s">
        <v>120</v>
      </c>
    </row>
    <row r="56" spans="2:3" x14ac:dyDescent="0.25">
      <c r="C56" t="s">
        <v>121</v>
      </c>
    </row>
    <row r="57" spans="2:3" x14ac:dyDescent="0.25">
      <c r="C57" t="s">
        <v>122</v>
      </c>
    </row>
    <row r="58" spans="2:3" x14ac:dyDescent="0.25">
      <c r="C58" t="s">
        <v>123</v>
      </c>
    </row>
    <row r="60" spans="2:3" x14ac:dyDescent="0.25">
      <c r="C60" t="s">
        <v>124</v>
      </c>
    </row>
    <row r="61" spans="2:3" x14ac:dyDescent="0.25">
      <c r="C61" t="s">
        <v>125</v>
      </c>
    </row>
    <row r="62" spans="2:3" x14ac:dyDescent="0.25">
      <c r="C62" t="s">
        <v>126</v>
      </c>
    </row>
    <row r="65" spans="1:1" x14ac:dyDescent="0.25">
      <c r="A65" t="s">
        <v>128</v>
      </c>
    </row>
    <row r="66" spans="1:1" x14ac:dyDescent="0.25">
      <c r="A66" t="s">
        <v>127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V101"/>
  <sheetViews>
    <sheetView zoomScaleNormal="100" workbookViewId="0">
      <pane ySplit="1" topLeftCell="A2" activePane="bottomLeft" state="frozen"/>
      <selection pane="bottomLeft" activeCell="V36" sqref="V36"/>
    </sheetView>
  </sheetViews>
  <sheetFormatPr defaultColWidth="15.5703125" defaultRowHeight="15" x14ac:dyDescent="0.25"/>
  <cols>
    <col min="1" max="1" width="21.85546875" bestFit="1" customWidth="1"/>
    <col min="2" max="2" width="11.85546875" customWidth="1"/>
    <col min="3" max="3" width="15.140625" customWidth="1"/>
    <col min="4" max="4" width="12.42578125" style="1" customWidth="1"/>
    <col min="5" max="5" width="16.140625" style="19" customWidth="1"/>
    <col min="6" max="6" width="15.7109375" style="19" customWidth="1"/>
    <col min="7" max="7" width="10.7109375" style="4" bestFit="1" customWidth="1"/>
    <col min="8" max="8" width="15" style="19" customWidth="1"/>
    <col min="9" max="9" width="16.7109375" style="19" bestFit="1" customWidth="1"/>
    <col min="10" max="11" width="21.7109375" style="19" hidden="1" customWidth="1"/>
    <col min="12" max="12" width="4.5703125" style="2" hidden="1" customWidth="1"/>
    <col min="13" max="13" width="14.140625" style="2" hidden="1" customWidth="1"/>
    <col min="14" max="14" width="13.7109375" style="1" hidden="1" customWidth="1"/>
    <col min="15" max="15" width="10.7109375" hidden="1" customWidth="1"/>
    <col min="16" max="16" width="13.7109375" style="3" hidden="1" customWidth="1"/>
    <col min="17" max="17" width="4.28515625" style="3" customWidth="1"/>
    <col min="18" max="18" width="13.7109375" style="4" bestFit="1" customWidth="1"/>
    <col min="19" max="19" width="2.7109375" style="4" customWidth="1"/>
    <col min="20" max="20" width="17.85546875" bestFit="1" customWidth="1"/>
    <col min="21" max="21" width="2.7109375" customWidth="1"/>
    <col min="22" max="22" width="13.7109375" bestFit="1" customWidth="1"/>
  </cols>
  <sheetData>
    <row r="1" spans="1:19" s="17" customFormat="1" ht="21" x14ac:dyDescent="0.35">
      <c r="A1" s="17" t="s">
        <v>45</v>
      </c>
      <c r="B1" s="17" t="s">
        <v>21</v>
      </c>
      <c r="C1" s="17" t="s">
        <v>0</v>
      </c>
      <c r="D1" s="13" t="s">
        <v>1</v>
      </c>
      <c r="E1" s="15" t="s">
        <v>3</v>
      </c>
      <c r="F1" s="15" t="s">
        <v>2</v>
      </c>
      <c r="G1" s="16" t="s">
        <v>46</v>
      </c>
      <c r="H1" s="15" t="s">
        <v>47</v>
      </c>
      <c r="I1" s="15" t="s">
        <v>48</v>
      </c>
      <c r="J1" s="15" t="s">
        <v>18</v>
      </c>
      <c r="K1" s="15" t="s">
        <v>19</v>
      </c>
      <c r="L1" s="13"/>
      <c r="M1" s="14"/>
      <c r="N1" s="15" t="s">
        <v>4</v>
      </c>
      <c r="O1" s="16" t="s">
        <v>3</v>
      </c>
      <c r="P1" s="16" t="s">
        <v>2</v>
      </c>
    </row>
    <row r="2" spans="1:19" x14ac:dyDescent="0.25">
      <c r="A2" t="s">
        <v>129</v>
      </c>
      <c r="B2" s="20" t="s">
        <v>130</v>
      </c>
      <c r="C2" t="s">
        <v>70</v>
      </c>
      <c r="D2" s="1" t="s">
        <v>17</v>
      </c>
      <c r="E2" s="19">
        <v>7.981576574999999E-2</v>
      </c>
      <c r="F2" s="19">
        <v>8.7884234249999998E-2</v>
      </c>
      <c r="G2" s="4">
        <v>7</v>
      </c>
      <c r="H2" s="19">
        <v>1.22E-6</v>
      </c>
      <c r="I2" s="19">
        <v>2.9100000000000001E-6</v>
      </c>
      <c r="J2" s="19">
        <v>9.9949999999999987E-3</v>
      </c>
      <c r="K2" s="19">
        <v>9.9949999999999987E-3</v>
      </c>
      <c r="L2" s="1"/>
      <c r="M2" s="3" t="s">
        <v>5</v>
      </c>
      <c r="N2" s="3">
        <v>9.9999999999999994E-12</v>
      </c>
      <c r="O2" s="4">
        <f t="shared" ref="O2:O33" si="0">COUNTIF(J:J,"&gt;="&amp;N2)</f>
        <v>44</v>
      </c>
      <c r="P2" s="4">
        <f t="shared" ref="P2:P33" si="1">COUNTIF(K:K,"&gt;="&amp;N2)</f>
        <v>46</v>
      </c>
      <c r="Q2"/>
      <c r="R2"/>
      <c r="S2"/>
    </row>
    <row r="3" spans="1:19" x14ac:dyDescent="0.25">
      <c r="A3" t="s">
        <v>131</v>
      </c>
      <c r="B3" s="20" t="s">
        <v>134</v>
      </c>
      <c r="C3" t="s">
        <v>136</v>
      </c>
      <c r="D3" s="1" t="s">
        <v>17</v>
      </c>
      <c r="E3" s="19">
        <v>5.0000000000000001E-3</v>
      </c>
      <c r="F3" s="19">
        <v>0.03</v>
      </c>
      <c r="G3" s="4">
        <v>2</v>
      </c>
      <c r="H3" s="19">
        <v>5.3209999999999995E-7</v>
      </c>
      <c r="I3" s="19">
        <v>4.5120000000000002E-7</v>
      </c>
      <c r="J3" s="19">
        <v>3.3883500299999999E-3</v>
      </c>
      <c r="K3" s="19">
        <v>3.6116499699999998E-3</v>
      </c>
      <c r="L3" s="1"/>
      <c r="M3" s="3"/>
      <c r="N3" s="3">
        <v>1.9999999999999999E-11</v>
      </c>
      <c r="O3" s="4">
        <f t="shared" si="0"/>
        <v>44</v>
      </c>
      <c r="P3" s="4">
        <f t="shared" si="1"/>
        <v>46</v>
      </c>
      <c r="Q3"/>
      <c r="R3"/>
      <c r="S3"/>
    </row>
    <row r="4" spans="1:19" x14ac:dyDescent="0.25">
      <c r="A4" t="s">
        <v>132</v>
      </c>
      <c r="B4" s="20" t="s">
        <v>135</v>
      </c>
      <c r="C4" t="s">
        <v>137</v>
      </c>
      <c r="D4" s="1" t="s">
        <v>17</v>
      </c>
      <c r="E4" s="19">
        <v>0.03</v>
      </c>
      <c r="F4" s="19">
        <v>3.0000000000000001E-3</v>
      </c>
      <c r="G4" s="4">
        <v>15</v>
      </c>
      <c r="H4" s="19">
        <v>4.5500000000000002E-9</v>
      </c>
      <c r="I4" s="19">
        <v>8.1900000000000001E-7</v>
      </c>
      <c r="J4" s="19">
        <v>0.04</v>
      </c>
      <c r="K4" s="19">
        <v>0.04</v>
      </c>
      <c r="L4" s="1"/>
      <c r="M4" s="3"/>
      <c r="N4" s="3">
        <v>3E-11</v>
      </c>
      <c r="O4" s="4">
        <f t="shared" si="0"/>
        <v>44</v>
      </c>
      <c r="P4" s="4">
        <f t="shared" si="1"/>
        <v>46</v>
      </c>
      <c r="Q4"/>
      <c r="R4"/>
      <c r="S4"/>
    </row>
    <row r="5" spans="1:19" x14ac:dyDescent="0.25">
      <c r="A5" t="s">
        <v>133</v>
      </c>
      <c r="B5" s="20" t="s">
        <v>38</v>
      </c>
      <c r="C5" t="s">
        <v>138</v>
      </c>
      <c r="D5" s="1" t="s">
        <v>17</v>
      </c>
      <c r="E5" s="19">
        <v>0.1</v>
      </c>
      <c r="F5" s="19">
        <v>0.05</v>
      </c>
      <c r="G5" s="4">
        <v>33</v>
      </c>
      <c r="H5" s="19">
        <v>4.8149999999999996E-9</v>
      </c>
      <c r="I5" s="19">
        <v>6.723E-7</v>
      </c>
      <c r="L5" s="1"/>
      <c r="M5" s="3"/>
      <c r="N5" s="3">
        <v>3.9999999999999998E-11</v>
      </c>
      <c r="O5" s="4">
        <f t="shared" si="0"/>
        <v>44</v>
      </c>
      <c r="P5" s="4">
        <f t="shared" si="1"/>
        <v>46</v>
      </c>
      <c r="Q5"/>
      <c r="R5"/>
      <c r="S5"/>
    </row>
    <row r="6" spans="1:19" x14ac:dyDescent="0.25">
      <c r="B6" s="20"/>
      <c r="J6" s="19">
        <v>3.3810076500000001E-2</v>
      </c>
      <c r="K6" s="19">
        <v>2.61899235E-2</v>
      </c>
      <c r="L6" s="1"/>
      <c r="M6" s="3"/>
      <c r="N6" s="3">
        <v>5.0000000000000002E-11</v>
      </c>
      <c r="O6" s="4">
        <f t="shared" si="0"/>
        <v>44</v>
      </c>
      <c r="P6" s="4">
        <f t="shared" si="1"/>
        <v>46</v>
      </c>
      <c r="Q6"/>
      <c r="R6"/>
      <c r="S6"/>
    </row>
    <row r="7" spans="1:19" x14ac:dyDescent="0.25">
      <c r="B7" s="20"/>
      <c r="J7" s="19">
        <v>6.0445860699999999E-3</v>
      </c>
      <c r="K7" s="19">
        <v>3.9554139299999994E-3</v>
      </c>
      <c r="L7" s="1"/>
      <c r="M7" s="3"/>
      <c r="N7" s="3">
        <v>6E-11</v>
      </c>
      <c r="O7" s="4">
        <f t="shared" si="0"/>
        <v>44</v>
      </c>
      <c r="P7" s="4">
        <f t="shared" si="1"/>
        <v>46</v>
      </c>
      <c r="Q7"/>
      <c r="R7"/>
      <c r="S7"/>
    </row>
    <row r="8" spans="1:19" x14ac:dyDescent="0.25">
      <c r="B8" s="20"/>
      <c r="J8" s="19">
        <v>0.01</v>
      </c>
      <c r="K8" s="19">
        <v>0.01</v>
      </c>
      <c r="L8" s="1"/>
      <c r="M8" s="3"/>
      <c r="N8" s="3">
        <v>7.0000000000000004E-11</v>
      </c>
      <c r="O8" s="4">
        <f t="shared" si="0"/>
        <v>44</v>
      </c>
      <c r="P8" s="4">
        <f t="shared" si="1"/>
        <v>46</v>
      </c>
      <c r="Q8"/>
      <c r="R8"/>
      <c r="S8"/>
    </row>
    <row r="9" spans="1:19" x14ac:dyDescent="0.25">
      <c r="B9" s="20"/>
      <c r="J9" s="19">
        <v>2.6108160300000001E-3</v>
      </c>
      <c r="K9" s="19">
        <v>2.53845397E-3</v>
      </c>
      <c r="L9" s="1"/>
      <c r="M9" s="3"/>
      <c r="N9" s="3">
        <v>7.9999999999999995E-11</v>
      </c>
      <c r="O9" s="4">
        <f t="shared" si="0"/>
        <v>44</v>
      </c>
      <c r="P9" s="4">
        <f t="shared" si="1"/>
        <v>46</v>
      </c>
      <c r="Q9"/>
      <c r="R9"/>
      <c r="S9"/>
    </row>
    <row r="10" spans="1:19" x14ac:dyDescent="0.25">
      <c r="B10" s="20"/>
      <c r="J10" s="19">
        <v>1.25E-3</v>
      </c>
      <c r="K10" s="19">
        <v>1.25E-3</v>
      </c>
      <c r="L10" s="1"/>
      <c r="M10" s="3"/>
      <c r="N10" s="3">
        <v>8.9999999999999999E-11</v>
      </c>
      <c r="O10" s="4">
        <f t="shared" si="0"/>
        <v>44</v>
      </c>
      <c r="P10" s="4">
        <f t="shared" si="1"/>
        <v>46</v>
      </c>
      <c r="Q10"/>
      <c r="R10"/>
      <c r="S10"/>
    </row>
    <row r="11" spans="1:19" x14ac:dyDescent="0.25">
      <c r="B11" s="20"/>
      <c r="J11" s="19">
        <v>2.5261906569999999E-2</v>
      </c>
      <c r="K11" s="19">
        <v>2.473809343E-2</v>
      </c>
      <c r="L11" s="1"/>
      <c r="M11" s="3"/>
      <c r="N11" s="3">
        <v>9.9999999999999991E-11</v>
      </c>
      <c r="O11" s="4">
        <f t="shared" si="0"/>
        <v>44</v>
      </c>
      <c r="P11" s="4">
        <f t="shared" si="1"/>
        <v>46</v>
      </c>
      <c r="Q11"/>
      <c r="R11"/>
      <c r="S11"/>
    </row>
    <row r="12" spans="1:19" x14ac:dyDescent="0.25">
      <c r="B12" s="20"/>
      <c r="J12" s="19">
        <v>0</v>
      </c>
      <c r="K12" s="19">
        <v>0.02</v>
      </c>
      <c r="L12" s="1"/>
      <c r="M12" s="3"/>
      <c r="N12" s="3">
        <v>1.9999999999999998E-10</v>
      </c>
      <c r="O12" s="4">
        <f t="shared" si="0"/>
        <v>44</v>
      </c>
      <c r="P12" s="4">
        <f t="shared" si="1"/>
        <v>46</v>
      </c>
      <c r="Q12"/>
      <c r="R12"/>
      <c r="S12"/>
    </row>
    <row r="13" spans="1:19" x14ac:dyDescent="0.25">
      <c r="B13" s="20"/>
      <c r="J13" s="19">
        <v>9.9603898499999993E-3</v>
      </c>
      <c r="K13" s="19">
        <v>1.5039610149999999E-2</v>
      </c>
      <c r="L13" s="1"/>
      <c r="M13" s="3"/>
      <c r="N13" s="3">
        <v>3E-10</v>
      </c>
      <c r="O13" s="4">
        <f t="shared" si="0"/>
        <v>44</v>
      </c>
      <c r="P13" s="4">
        <f t="shared" si="1"/>
        <v>46</v>
      </c>
      <c r="Q13"/>
      <c r="R13"/>
      <c r="S13"/>
    </row>
    <row r="14" spans="1:19" x14ac:dyDescent="0.25">
      <c r="B14" s="20"/>
      <c r="J14" s="19">
        <v>1.51223441E-3</v>
      </c>
      <c r="K14" s="19">
        <v>9.8487765589999998E-2</v>
      </c>
      <c r="L14" s="1"/>
      <c r="M14" s="3"/>
      <c r="N14" s="3">
        <v>3.9999999999999996E-10</v>
      </c>
      <c r="O14" s="4">
        <f t="shared" si="0"/>
        <v>44</v>
      </c>
      <c r="P14" s="4">
        <f t="shared" si="1"/>
        <v>46</v>
      </c>
      <c r="Q14"/>
      <c r="R14"/>
      <c r="S14"/>
    </row>
    <row r="15" spans="1:19" x14ac:dyDescent="0.25">
      <c r="B15" s="20"/>
      <c r="C15" s="20"/>
      <c r="L15" s="1"/>
      <c r="M15" s="3"/>
      <c r="N15" s="3">
        <v>5.0000000000000003E-10</v>
      </c>
      <c r="O15" s="4">
        <f t="shared" si="0"/>
        <v>44</v>
      </c>
      <c r="P15" s="4">
        <f t="shared" si="1"/>
        <v>46</v>
      </c>
      <c r="Q15"/>
      <c r="R15"/>
      <c r="S15"/>
    </row>
    <row r="16" spans="1:19" x14ac:dyDescent="0.25">
      <c r="B16" s="20"/>
      <c r="C16" s="20"/>
      <c r="J16" s="19">
        <v>1E-3</v>
      </c>
      <c r="K16" s="19">
        <v>4.8999999999999995E-2</v>
      </c>
      <c r="L16" s="1"/>
      <c r="M16" s="3"/>
      <c r="N16" s="3">
        <v>6E-10</v>
      </c>
      <c r="O16" s="4">
        <f t="shared" si="0"/>
        <v>44</v>
      </c>
      <c r="P16" s="4">
        <f t="shared" si="1"/>
        <v>46</v>
      </c>
      <c r="Q16"/>
      <c r="R16"/>
      <c r="S16"/>
    </row>
    <row r="17" spans="2:19" x14ac:dyDescent="0.25">
      <c r="B17" s="20"/>
      <c r="C17" s="20"/>
      <c r="J17" s="19">
        <v>2.0161244549999999E-2</v>
      </c>
      <c r="K17" s="19">
        <v>2.023875545E-2</v>
      </c>
      <c r="L17" s="1"/>
      <c r="M17" s="3"/>
      <c r="N17" s="3">
        <v>7.0000000000000006E-10</v>
      </c>
      <c r="O17" s="4">
        <f t="shared" si="0"/>
        <v>44</v>
      </c>
      <c r="P17" s="4">
        <f t="shared" si="1"/>
        <v>46</v>
      </c>
      <c r="Q17"/>
      <c r="R17"/>
      <c r="S17"/>
    </row>
    <row r="18" spans="2:19" x14ac:dyDescent="0.25">
      <c r="B18" s="20"/>
      <c r="J18" s="19">
        <v>2.4400260999999997E-3</v>
      </c>
      <c r="K18" s="19">
        <v>9.7559973899999999E-2</v>
      </c>
      <c r="L18" s="1"/>
      <c r="M18" s="3"/>
      <c r="N18" s="3">
        <v>7.9999999999999993E-10</v>
      </c>
      <c r="O18" s="4">
        <f t="shared" si="0"/>
        <v>44</v>
      </c>
      <c r="P18" s="4">
        <f t="shared" si="1"/>
        <v>46</v>
      </c>
      <c r="Q18"/>
      <c r="R18"/>
      <c r="S18"/>
    </row>
    <row r="19" spans="2:19" x14ac:dyDescent="0.25">
      <c r="B19" s="20"/>
      <c r="J19" s="19">
        <v>3.4901080999999998E-4</v>
      </c>
      <c r="K19" s="19">
        <v>1.9650989189999999E-2</v>
      </c>
      <c r="L19" s="1"/>
      <c r="M19" s="3"/>
      <c r="N19" s="3">
        <v>8.9999999999999999E-10</v>
      </c>
      <c r="O19" s="4">
        <f t="shared" si="0"/>
        <v>44</v>
      </c>
      <c r="P19" s="4">
        <f t="shared" si="1"/>
        <v>46</v>
      </c>
      <c r="Q19"/>
      <c r="R19"/>
      <c r="S19"/>
    </row>
    <row r="20" spans="2:19" x14ac:dyDescent="0.25">
      <c r="B20" s="20"/>
      <c r="C20" s="20"/>
      <c r="J20" s="19">
        <v>2.0672076099999999E-3</v>
      </c>
      <c r="K20" s="19">
        <v>4.7932792389999999E-2</v>
      </c>
      <c r="L20" s="1"/>
      <c r="M20" s="3"/>
      <c r="N20" s="3">
        <v>9.9999999999999986E-10</v>
      </c>
      <c r="O20" s="4">
        <f t="shared" si="0"/>
        <v>44</v>
      </c>
      <c r="P20" s="4">
        <f t="shared" si="1"/>
        <v>46</v>
      </c>
      <c r="Q20"/>
      <c r="R20"/>
      <c r="S20"/>
    </row>
    <row r="21" spans="2:19" x14ac:dyDescent="0.25">
      <c r="B21" s="20"/>
      <c r="J21" s="19">
        <v>4.4999999999999999E-4</v>
      </c>
      <c r="K21" s="19">
        <v>8.5500000000000003E-3</v>
      </c>
      <c r="L21" s="1"/>
      <c r="M21" s="3"/>
      <c r="N21" s="3">
        <v>1.9999999999999997E-9</v>
      </c>
      <c r="O21" s="4">
        <f t="shared" si="0"/>
        <v>44</v>
      </c>
      <c r="P21" s="4">
        <f t="shared" si="1"/>
        <v>46</v>
      </c>
      <c r="Q21"/>
      <c r="R21"/>
      <c r="S21"/>
    </row>
    <row r="22" spans="2:19" x14ac:dyDescent="0.25">
      <c r="B22" s="20"/>
      <c r="L22" s="1"/>
      <c r="M22" s="3"/>
      <c r="N22" s="3">
        <v>3E-9</v>
      </c>
      <c r="O22" s="4">
        <f t="shared" si="0"/>
        <v>44</v>
      </c>
      <c r="P22" s="4">
        <f t="shared" si="1"/>
        <v>46</v>
      </c>
      <c r="Q22"/>
      <c r="R22"/>
      <c r="S22"/>
    </row>
    <row r="23" spans="2:19" x14ac:dyDescent="0.25">
      <c r="B23" s="20"/>
      <c r="C23" s="20"/>
      <c r="L23" s="1"/>
      <c r="M23" s="3"/>
      <c r="N23" s="3">
        <v>3.9999999999999994E-9</v>
      </c>
      <c r="O23" s="4">
        <f t="shared" si="0"/>
        <v>44</v>
      </c>
      <c r="P23" s="4">
        <f t="shared" si="1"/>
        <v>46</v>
      </c>
      <c r="Q23"/>
      <c r="R23"/>
      <c r="S23"/>
    </row>
    <row r="24" spans="2:19" x14ac:dyDescent="0.25">
      <c r="B24" s="20"/>
      <c r="J24" s="19">
        <v>1.249807094E-2</v>
      </c>
      <c r="K24" s="19">
        <v>1.1019290599999999E-3</v>
      </c>
      <c r="L24" s="1"/>
      <c r="M24" s="3"/>
      <c r="N24" s="3">
        <v>5.0000000000000001E-9</v>
      </c>
      <c r="O24" s="4">
        <f t="shared" si="0"/>
        <v>44</v>
      </c>
      <c r="P24" s="4">
        <f t="shared" si="1"/>
        <v>46</v>
      </c>
      <c r="Q24"/>
      <c r="R24"/>
      <c r="S24"/>
    </row>
    <row r="25" spans="2:19" x14ac:dyDescent="0.25">
      <c r="B25" s="20"/>
      <c r="C25" s="20"/>
      <c r="J25" s="19">
        <v>2.70390542E-3</v>
      </c>
      <c r="K25" s="19">
        <v>2.7039145799999998E-3</v>
      </c>
      <c r="L25" s="1"/>
      <c r="M25" s="3"/>
      <c r="N25" s="3">
        <v>6E-9</v>
      </c>
      <c r="O25" s="4">
        <f t="shared" si="0"/>
        <v>44</v>
      </c>
      <c r="P25" s="4">
        <f t="shared" si="1"/>
        <v>46</v>
      </c>
      <c r="Q25"/>
      <c r="R25"/>
      <c r="S25"/>
    </row>
    <row r="26" spans="2:19" x14ac:dyDescent="0.25">
      <c r="B26" s="20"/>
      <c r="J26" s="19">
        <v>2.9999999999999997E-4</v>
      </c>
      <c r="K26" s="19">
        <v>8.9999999999999998E-4</v>
      </c>
      <c r="L26" s="1"/>
      <c r="M26" s="3"/>
      <c r="N26" s="3">
        <v>7.0000000000000006E-9</v>
      </c>
      <c r="O26" s="4">
        <f t="shared" si="0"/>
        <v>44</v>
      </c>
      <c r="P26" s="4">
        <f t="shared" si="1"/>
        <v>46</v>
      </c>
      <c r="Q26"/>
      <c r="R26"/>
      <c r="S26"/>
    </row>
    <row r="27" spans="2:19" x14ac:dyDescent="0.25">
      <c r="B27" s="20"/>
      <c r="C27" s="20"/>
      <c r="J27" s="19">
        <v>7.981576574999999E-2</v>
      </c>
      <c r="K27" s="19">
        <v>8.7884234249999998E-2</v>
      </c>
      <c r="L27" s="1"/>
      <c r="M27" s="3"/>
      <c r="N27" s="3">
        <v>7.9999999999999988E-9</v>
      </c>
      <c r="O27" s="4">
        <f t="shared" si="0"/>
        <v>44</v>
      </c>
      <c r="P27" s="4">
        <f t="shared" si="1"/>
        <v>46</v>
      </c>
      <c r="Q27"/>
      <c r="R27"/>
      <c r="S27"/>
    </row>
    <row r="28" spans="2:19" x14ac:dyDescent="0.25">
      <c r="B28" s="20"/>
      <c r="J28" s="19">
        <v>1.0193028489999999E-2</v>
      </c>
      <c r="K28" s="19">
        <v>9.7969715099999986E-3</v>
      </c>
      <c r="L28" s="1"/>
      <c r="M28" s="3"/>
      <c r="N28" s="3">
        <v>8.9999999999999995E-9</v>
      </c>
      <c r="O28" s="4">
        <f t="shared" si="0"/>
        <v>44</v>
      </c>
      <c r="P28" s="4">
        <f t="shared" si="1"/>
        <v>46</v>
      </c>
      <c r="Q28"/>
      <c r="R28"/>
      <c r="S28"/>
    </row>
    <row r="29" spans="2:19" x14ac:dyDescent="0.25">
      <c r="B29" s="20"/>
      <c r="C29" s="20"/>
      <c r="J29" s="19">
        <v>1.0580009999999999E-5</v>
      </c>
      <c r="K29" s="19">
        <v>3.9894199899999996E-3</v>
      </c>
      <c r="L29" s="1"/>
      <c r="M29" s="3" t="s">
        <v>6</v>
      </c>
      <c r="N29" s="3">
        <v>9.9999999999999986E-9</v>
      </c>
      <c r="O29" s="4">
        <f t="shared" si="0"/>
        <v>44</v>
      </c>
      <c r="P29" s="4">
        <f t="shared" si="1"/>
        <v>46</v>
      </c>
      <c r="Q29"/>
      <c r="R29"/>
      <c r="S29"/>
    </row>
    <row r="30" spans="2:19" x14ac:dyDescent="0.25">
      <c r="B30" s="20"/>
      <c r="J30" s="19">
        <v>2.4998098E-2</v>
      </c>
      <c r="K30" s="19">
        <v>2.5001901999999999E-2</v>
      </c>
      <c r="L30" s="1"/>
      <c r="M30" s="3"/>
      <c r="N30" s="3">
        <v>1.9999999999999997E-8</v>
      </c>
      <c r="O30" s="4">
        <f t="shared" si="0"/>
        <v>44</v>
      </c>
      <c r="P30" s="4">
        <f t="shared" si="1"/>
        <v>46</v>
      </c>
      <c r="Q30"/>
      <c r="R30"/>
      <c r="S30"/>
    </row>
    <row r="31" spans="2:19" x14ac:dyDescent="0.25">
      <c r="B31" s="20"/>
      <c r="J31" s="19">
        <v>5.8856978999999993E-4</v>
      </c>
      <c r="K31" s="19">
        <v>4.6314302099999998E-3</v>
      </c>
      <c r="L31" s="1"/>
      <c r="M31" s="3"/>
      <c r="N31" s="3">
        <v>2.9999999999999997E-8</v>
      </c>
      <c r="O31" s="4">
        <f t="shared" si="0"/>
        <v>44</v>
      </c>
      <c r="P31" s="4">
        <f t="shared" si="1"/>
        <v>46</v>
      </c>
      <c r="Q31"/>
      <c r="R31"/>
      <c r="S31"/>
    </row>
    <row r="32" spans="2:19" x14ac:dyDescent="0.25">
      <c r="B32" s="20"/>
      <c r="J32" s="19">
        <v>9.7700897699999987E-3</v>
      </c>
      <c r="K32" s="19">
        <v>4.0229910229999999E-2</v>
      </c>
      <c r="L32" s="1"/>
      <c r="M32" s="3"/>
      <c r="N32" s="3">
        <v>3.9999999999999994E-8</v>
      </c>
      <c r="O32" s="4">
        <f t="shared" si="0"/>
        <v>44</v>
      </c>
      <c r="P32" s="4">
        <f t="shared" si="1"/>
        <v>46</v>
      </c>
      <c r="Q32"/>
      <c r="R32"/>
      <c r="S32"/>
    </row>
    <row r="33" spans="2:22" ht="15.75" thickBot="1" x14ac:dyDescent="0.3">
      <c r="B33" s="20"/>
      <c r="J33" s="19">
        <v>1.24E-3</v>
      </c>
      <c r="K33" s="19">
        <v>4.8759999999999998E-2</v>
      </c>
      <c r="L33" s="1"/>
      <c r="M33" s="3"/>
      <c r="N33" s="3">
        <v>4.9999999999999998E-8</v>
      </c>
      <c r="O33" s="4">
        <f t="shared" si="0"/>
        <v>44</v>
      </c>
      <c r="P33" s="4">
        <f t="shared" si="1"/>
        <v>46</v>
      </c>
      <c r="Q33"/>
      <c r="R33"/>
      <c r="S33"/>
    </row>
    <row r="34" spans="2:22" x14ac:dyDescent="0.25">
      <c r="B34" s="20"/>
      <c r="C34" s="20"/>
      <c r="J34" s="19">
        <v>2.4999999999999998E-2</v>
      </c>
      <c r="K34" s="19">
        <v>2.4999999999999998E-2</v>
      </c>
      <c r="L34" s="1"/>
      <c r="M34" s="3"/>
      <c r="N34" s="3">
        <v>5.9999999999999995E-8</v>
      </c>
      <c r="O34" s="4">
        <f t="shared" ref="O34:O65" si="2">COUNTIF(J:J,"&gt;="&amp;N34)</f>
        <v>44</v>
      </c>
      <c r="P34" s="4">
        <f t="shared" ref="P34:P65" si="3">COUNTIF(K:K,"&gt;="&amp;N34)</f>
        <v>46</v>
      </c>
      <c r="Q34"/>
      <c r="R34" s="5" t="s">
        <v>9</v>
      </c>
      <c r="S34" s="3"/>
      <c r="T34" s="6" t="s">
        <v>10</v>
      </c>
      <c r="U34" s="3"/>
      <c r="V34" s="7" t="s">
        <v>11</v>
      </c>
    </row>
    <row r="35" spans="2:22" ht="15.75" thickBot="1" x14ac:dyDescent="0.3">
      <c r="B35" s="20"/>
      <c r="J35" s="19">
        <v>8.9129323999999994E-4</v>
      </c>
      <c r="K35" s="19">
        <v>9.1087067599999998E-3</v>
      </c>
      <c r="L35" s="1"/>
      <c r="M35" s="3"/>
      <c r="N35" s="3">
        <v>7.0000000000000005E-8</v>
      </c>
      <c r="O35" s="4">
        <f t="shared" si="2"/>
        <v>44</v>
      </c>
      <c r="P35" s="4">
        <f t="shared" si="3"/>
        <v>46</v>
      </c>
      <c r="Q35"/>
      <c r="R35" s="8">
        <f>MAX(F:F)</f>
        <v>8.7884234249999998E-2</v>
      </c>
      <c r="S35" s="3"/>
      <c r="T35" s="8">
        <f>MAX(E:E)</f>
        <v>0.1</v>
      </c>
      <c r="U35" s="3"/>
      <c r="V35" s="9">
        <f>VALUE(_xlfn.WEBSERVICE("https://api.coingate.com/v2/rates/merchant/BTC/USD"))</f>
        <v>9452.91</v>
      </c>
    </row>
    <row r="36" spans="2:22" ht="15.75" thickBot="1" x14ac:dyDescent="0.3">
      <c r="B36" s="20"/>
      <c r="C36" s="20"/>
      <c r="J36" s="19">
        <v>7.3002819999999993E-4</v>
      </c>
      <c r="K36" s="19">
        <v>3.0997179999999998E-4</v>
      </c>
      <c r="L36" s="1"/>
      <c r="M36" s="3"/>
      <c r="N36" s="3">
        <v>7.9999999999999988E-8</v>
      </c>
      <c r="O36" s="4">
        <f t="shared" si="2"/>
        <v>44</v>
      </c>
      <c r="P36" s="4">
        <f t="shared" si="3"/>
        <v>46</v>
      </c>
      <c r="Q36"/>
      <c r="R36" s="10">
        <f>R35*$V$35</f>
        <v>830.76175678416746</v>
      </c>
      <c r="S36" s="3"/>
      <c r="T36" s="10">
        <f>T35*$V$35</f>
        <v>945.29100000000005</v>
      </c>
      <c r="U36" s="3"/>
      <c r="V36" s="3"/>
    </row>
    <row r="37" spans="2:22" x14ac:dyDescent="0.25">
      <c r="B37" s="20"/>
      <c r="J37" s="19">
        <v>0</v>
      </c>
      <c r="K37" s="19">
        <v>2E-3</v>
      </c>
      <c r="L37" s="1"/>
      <c r="M37" s="3"/>
      <c r="N37" s="3">
        <v>8.9999999999999999E-8</v>
      </c>
      <c r="O37" s="4">
        <f t="shared" si="2"/>
        <v>44</v>
      </c>
      <c r="P37" s="4">
        <f t="shared" si="3"/>
        <v>46</v>
      </c>
      <c r="Q37"/>
      <c r="R37"/>
      <c r="S37"/>
    </row>
    <row r="38" spans="2:22" x14ac:dyDescent="0.25">
      <c r="B38" s="20"/>
      <c r="C38" s="20"/>
      <c r="J38" s="19">
        <v>1E-3</v>
      </c>
      <c r="K38" s="19">
        <v>4.8999999999999995E-2</v>
      </c>
      <c r="L38" s="1"/>
      <c r="M38" s="3"/>
      <c r="N38" s="3">
        <v>9.9999999999999982E-8</v>
      </c>
      <c r="O38" s="4">
        <f t="shared" si="2"/>
        <v>44</v>
      </c>
      <c r="P38" s="4">
        <f t="shared" si="3"/>
        <v>46</v>
      </c>
      <c r="Q38"/>
      <c r="R38"/>
      <c r="S38"/>
    </row>
    <row r="39" spans="2:22" x14ac:dyDescent="0.25">
      <c r="B39" s="20"/>
      <c r="J39" s="19">
        <v>5.3710035999999996E-4</v>
      </c>
      <c r="K39" s="19">
        <v>1.946289964E-2</v>
      </c>
      <c r="L39" s="1"/>
      <c r="M39" s="3"/>
      <c r="N39" s="3">
        <v>1.9999999999999996E-7</v>
      </c>
      <c r="O39" s="4">
        <f t="shared" si="2"/>
        <v>44</v>
      </c>
      <c r="P39" s="4">
        <f t="shared" si="3"/>
        <v>46</v>
      </c>
      <c r="Q39"/>
      <c r="R39"/>
      <c r="S39"/>
    </row>
    <row r="40" spans="2:22" x14ac:dyDescent="0.25">
      <c r="B40" s="20"/>
      <c r="J40" s="19">
        <v>4.4088068999999994E-3</v>
      </c>
      <c r="K40" s="19">
        <v>5.9119309999999998E-4</v>
      </c>
      <c r="L40" s="1"/>
      <c r="M40" s="3"/>
      <c r="N40" s="3">
        <v>2.9999999999999999E-7</v>
      </c>
      <c r="O40" s="4">
        <f t="shared" si="2"/>
        <v>44</v>
      </c>
      <c r="P40" s="4">
        <f t="shared" si="3"/>
        <v>46</v>
      </c>
      <c r="Q40"/>
      <c r="R40"/>
      <c r="S40"/>
    </row>
    <row r="41" spans="2:22" x14ac:dyDescent="0.25">
      <c r="B41" s="20"/>
      <c r="L41" s="1"/>
      <c r="M41" s="3"/>
      <c r="N41" s="3">
        <v>3.9999999999999993E-7</v>
      </c>
      <c r="O41" s="4">
        <f t="shared" si="2"/>
        <v>44</v>
      </c>
      <c r="P41" s="4">
        <f t="shared" si="3"/>
        <v>46</v>
      </c>
      <c r="Q41"/>
      <c r="R41"/>
      <c r="S41"/>
    </row>
    <row r="42" spans="2:22" x14ac:dyDescent="0.25">
      <c r="B42" s="20"/>
      <c r="C42" s="20"/>
      <c r="J42" s="19">
        <v>2.2287857399999997E-3</v>
      </c>
      <c r="K42" s="19">
        <v>1.7771214259999998E-2</v>
      </c>
      <c r="L42" s="1"/>
      <c r="M42" s="3"/>
      <c r="N42" s="3">
        <v>4.9999999999999998E-7</v>
      </c>
      <c r="O42" s="4">
        <f t="shared" si="2"/>
        <v>44</v>
      </c>
      <c r="P42" s="4">
        <f t="shared" si="3"/>
        <v>46</v>
      </c>
      <c r="Q42"/>
      <c r="R42"/>
      <c r="S42"/>
    </row>
    <row r="43" spans="2:22" x14ac:dyDescent="0.25">
      <c r="B43" s="20"/>
      <c r="J43" s="19">
        <v>2.5024999999999999E-2</v>
      </c>
      <c r="K43" s="19">
        <v>2.4974999999999997E-2</v>
      </c>
      <c r="L43" s="1"/>
      <c r="M43" s="3"/>
      <c r="N43" s="3">
        <v>5.9999999999999997E-7</v>
      </c>
      <c r="O43" s="4">
        <f t="shared" si="2"/>
        <v>44</v>
      </c>
      <c r="P43" s="4">
        <f t="shared" si="3"/>
        <v>46</v>
      </c>
      <c r="Q43"/>
      <c r="R43"/>
      <c r="S43"/>
    </row>
    <row r="44" spans="2:22" x14ac:dyDescent="0.25">
      <c r="B44" s="20"/>
      <c r="J44" s="19">
        <v>7.5081864699999999E-3</v>
      </c>
      <c r="K44" s="19">
        <v>0.10849181352999999</v>
      </c>
      <c r="L44" s="1"/>
      <c r="M44" s="3"/>
      <c r="N44" s="3">
        <v>7.0000000000000007E-7</v>
      </c>
      <c r="O44" s="4">
        <f t="shared" si="2"/>
        <v>44</v>
      </c>
      <c r="P44" s="4">
        <f t="shared" si="3"/>
        <v>46</v>
      </c>
      <c r="Q44"/>
      <c r="R44"/>
      <c r="S44"/>
    </row>
    <row r="45" spans="2:22" x14ac:dyDescent="0.25">
      <c r="B45" s="20"/>
      <c r="C45" s="20"/>
      <c r="J45" s="19">
        <v>1.116434662E-2</v>
      </c>
      <c r="K45" s="19">
        <v>8.8356533799999991E-3</v>
      </c>
      <c r="L45" s="1"/>
      <c r="M45" s="3"/>
      <c r="N45" s="3">
        <v>7.9999999999999986E-7</v>
      </c>
      <c r="O45" s="4">
        <f t="shared" si="2"/>
        <v>44</v>
      </c>
      <c r="P45" s="4">
        <f t="shared" si="3"/>
        <v>46</v>
      </c>
      <c r="Q45"/>
      <c r="R45"/>
      <c r="S45"/>
    </row>
    <row r="46" spans="2:22" x14ac:dyDescent="0.25">
      <c r="B46" s="20"/>
      <c r="C46" s="20"/>
      <c r="J46" s="19">
        <v>3.6703789299999999E-3</v>
      </c>
      <c r="K46" s="19">
        <v>1.32962107E-3</v>
      </c>
      <c r="L46" s="1"/>
      <c r="M46" s="3"/>
      <c r="N46" s="3">
        <v>8.9999999999999996E-7</v>
      </c>
      <c r="O46" s="4">
        <f t="shared" si="2"/>
        <v>44</v>
      </c>
      <c r="P46" s="4">
        <f t="shared" si="3"/>
        <v>46</v>
      </c>
      <c r="Q46"/>
      <c r="R46"/>
      <c r="S46"/>
    </row>
    <row r="47" spans="2:22" x14ac:dyDescent="0.25">
      <c r="B47" s="20"/>
      <c r="C47" s="20"/>
      <c r="J47" s="19">
        <v>5.3670982699999996E-3</v>
      </c>
      <c r="K47" s="19">
        <v>8.6505317299999992E-3</v>
      </c>
      <c r="L47" s="1"/>
      <c r="M47" s="3" t="s">
        <v>7</v>
      </c>
      <c r="N47" s="3">
        <v>9.9999999999999974E-7</v>
      </c>
      <c r="O47" s="4">
        <f t="shared" si="2"/>
        <v>44</v>
      </c>
      <c r="P47" s="4">
        <f t="shared" si="3"/>
        <v>46</v>
      </c>
      <c r="Q47"/>
      <c r="R47"/>
      <c r="S47"/>
    </row>
    <row r="48" spans="2:22" x14ac:dyDescent="0.25">
      <c r="B48" s="20"/>
      <c r="C48" s="20"/>
      <c r="L48" s="1"/>
      <c r="M48" s="3"/>
      <c r="N48" s="3">
        <v>1.9999999999999995E-6</v>
      </c>
      <c r="O48" s="4">
        <f t="shared" si="2"/>
        <v>44</v>
      </c>
      <c r="P48" s="4">
        <f t="shared" si="3"/>
        <v>46</v>
      </c>
      <c r="Q48"/>
      <c r="R48"/>
      <c r="S48"/>
    </row>
    <row r="49" spans="2:19" x14ac:dyDescent="0.25">
      <c r="B49" s="20"/>
      <c r="C49" s="20"/>
      <c r="J49" s="19">
        <v>1E-3</v>
      </c>
      <c r="K49" s="19">
        <v>8.9999999999999993E-3</v>
      </c>
      <c r="L49" s="1"/>
      <c r="M49" s="3"/>
      <c r="N49" s="3">
        <v>3.0000000000000001E-6</v>
      </c>
      <c r="O49" s="4">
        <f t="shared" si="2"/>
        <v>44</v>
      </c>
      <c r="P49" s="4">
        <f t="shared" si="3"/>
        <v>46</v>
      </c>
      <c r="Q49"/>
      <c r="R49"/>
      <c r="S49"/>
    </row>
    <row r="50" spans="2:19" x14ac:dyDescent="0.25">
      <c r="B50" s="20"/>
      <c r="C50" s="20"/>
      <c r="J50" s="19">
        <v>5.0308999999999998E-4</v>
      </c>
      <c r="K50" s="19">
        <v>5.0308999999999998E-4</v>
      </c>
      <c r="L50" s="1"/>
      <c r="M50" s="3"/>
      <c r="N50" s="3">
        <v>3.999999999999999E-6</v>
      </c>
      <c r="O50" s="4">
        <f t="shared" si="2"/>
        <v>44</v>
      </c>
      <c r="P50" s="4">
        <f t="shared" si="3"/>
        <v>46</v>
      </c>
      <c r="Q50"/>
      <c r="R50"/>
      <c r="S50"/>
    </row>
    <row r="51" spans="2:19" x14ac:dyDescent="0.25">
      <c r="B51" s="20"/>
      <c r="C51" s="20"/>
      <c r="J51" s="19">
        <v>1.4794983289999999E-2</v>
      </c>
      <c r="K51" s="19">
        <v>2.0501670999999999E-4</v>
      </c>
      <c r="L51" s="1"/>
      <c r="M51" s="3"/>
      <c r="N51" s="3">
        <v>4.9999999999999996E-6</v>
      </c>
      <c r="O51" s="4">
        <f t="shared" si="2"/>
        <v>44</v>
      </c>
      <c r="P51" s="4">
        <f t="shared" si="3"/>
        <v>46</v>
      </c>
      <c r="Q51"/>
      <c r="R51"/>
      <c r="S51"/>
    </row>
    <row r="52" spans="2:19" x14ac:dyDescent="0.25">
      <c r="B52" s="20"/>
      <c r="J52" s="19">
        <v>8.7610085499999994E-3</v>
      </c>
      <c r="K52" s="19">
        <v>1.23899145E-3</v>
      </c>
      <c r="L52" s="1"/>
      <c r="M52" s="3"/>
      <c r="N52" s="3">
        <v>6.0000000000000002E-6</v>
      </c>
      <c r="O52" s="4">
        <f t="shared" si="2"/>
        <v>44</v>
      </c>
      <c r="P52" s="4">
        <f t="shared" si="3"/>
        <v>46</v>
      </c>
      <c r="Q52"/>
      <c r="R52"/>
      <c r="S52"/>
    </row>
    <row r="53" spans="2:19" x14ac:dyDescent="0.25">
      <c r="B53" s="20"/>
      <c r="J53" s="19">
        <v>9.5496065999999998E-3</v>
      </c>
      <c r="K53" s="19">
        <v>4.5039339999999997E-4</v>
      </c>
      <c r="L53" s="1"/>
      <c r="M53" s="3"/>
      <c r="N53" s="3">
        <v>7.0000000000000007E-6</v>
      </c>
      <c r="O53" s="4">
        <f t="shared" si="2"/>
        <v>44</v>
      </c>
      <c r="P53" s="4">
        <f t="shared" si="3"/>
        <v>46</v>
      </c>
      <c r="Q53"/>
      <c r="R53"/>
      <c r="S53"/>
    </row>
    <row r="54" spans="2:19" x14ac:dyDescent="0.25">
      <c r="B54" s="20"/>
      <c r="L54" s="1"/>
      <c r="M54" s="3"/>
      <c r="N54" s="3">
        <v>7.9999999999999979E-6</v>
      </c>
      <c r="O54" s="4">
        <f t="shared" si="2"/>
        <v>44</v>
      </c>
      <c r="P54" s="4">
        <f t="shared" si="3"/>
        <v>46</v>
      </c>
      <c r="Q54"/>
      <c r="R54"/>
      <c r="S54"/>
    </row>
    <row r="55" spans="2:19" x14ac:dyDescent="0.25">
      <c r="B55" s="20"/>
      <c r="C55" s="20"/>
      <c r="L55" s="1"/>
      <c r="M55" s="3"/>
      <c r="N55" s="3">
        <v>9.0000000000000002E-6</v>
      </c>
      <c r="O55" s="4">
        <f t="shared" si="2"/>
        <v>44</v>
      </c>
      <c r="P55" s="4">
        <f t="shared" si="3"/>
        <v>46</v>
      </c>
      <c r="Q55"/>
      <c r="R55"/>
      <c r="S55"/>
    </row>
    <row r="56" spans="2:19" x14ac:dyDescent="0.25">
      <c r="B56" s="20"/>
      <c r="L56" s="1"/>
      <c r="M56" s="3"/>
      <c r="N56" s="3">
        <v>9.9999999999999974E-6</v>
      </c>
      <c r="O56" s="4">
        <f t="shared" si="2"/>
        <v>44</v>
      </c>
      <c r="P56" s="4">
        <f t="shared" si="3"/>
        <v>46</v>
      </c>
      <c r="Q56"/>
      <c r="R56"/>
      <c r="S56"/>
    </row>
    <row r="57" spans="2:19" x14ac:dyDescent="0.25">
      <c r="B57" s="20"/>
      <c r="L57" s="1"/>
      <c r="M57" s="3"/>
      <c r="N57" s="3">
        <v>1.9999999999999995E-5</v>
      </c>
      <c r="O57" s="4">
        <f t="shared" si="2"/>
        <v>43</v>
      </c>
      <c r="P57" s="4">
        <f t="shared" si="3"/>
        <v>46</v>
      </c>
      <c r="Q57"/>
      <c r="R57"/>
      <c r="S57"/>
    </row>
    <row r="58" spans="2:19" x14ac:dyDescent="0.25">
      <c r="B58" s="20"/>
      <c r="C58" s="20"/>
      <c r="L58" s="1"/>
      <c r="M58" s="3"/>
      <c r="N58" s="3">
        <v>3.0000000000000001E-5</v>
      </c>
      <c r="O58" s="4">
        <f t="shared" si="2"/>
        <v>43</v>
      </c>
      <c r="P58" s="4">
        <f t="shared" si="3"/>
        <v>46</v>
      </c>
      <c r="Q58"/>
      <c r="R58"/>
      <c r="S58"/>
    </row>
    <row r="59" spans="2:19" x14ac:dyDescent="0.25">
      <c r="B59" s="20"/>
      <c r="C59" s="20"/>
      <c r="L59" s="1"/>
      <c r="M59" s="3"/>
      <c r="N59" s="3">
        <v>3.999999999999999E-5</v>
      </c>
      <c r="O59" s="4">
        <f t="shared" si="2"/>
        <v>43</v>
      </c>
      <c r="P59" s="4">
        <f t="shared" si="3"/>
        <v>46</v>
      </c>
      <c r="Q59"/>
      <c r="R59"/>
      <c r="S59"/>
    </row>
    <row r="60" spans="2:19" x14ac:dyDescent="0.25">
      <c r="B60" s="20"/>
      <c r="L60" s="1"/>
      <c r="M60" s="3"/>
      <c r="N60" s="3">
        <v>4.9999999999999996E-5</v>
      </c>
      <c r="O60" s="4">
        <f t="shared" si="2"/>
        <v>43</v>
      </c>
      <c r="P60" s="4">
        <f t="shared" si="3"/>
        <v>46</v>
      </c>
      <c r="Q60"/>
      <c r="R60"/>
      <c r="S60"/>
    </row>
    <row r="61" spans="2:19" x14ac:dyDescent="0.25">
      <c r="B61" s="20"/>
      <c r="L61" s="1"/>
      <c r="M61" s="3"/>
      <c r="N61" s="3">
        <v>6.0000000000000002E-5</v>
      </c>
      <c r="O61" s="4">
        <f t="shared" si="2"/>
        <v>43</v>
      </c>
      <c r="P61" s="4">
        <f t="shared" si="3"/>
        <v>46</v>
      </c>
      <c r="Q61"/>
      <c r="R61"/>
      <c r="S61"/>
    </row>
    <row r="62" spans="2:19" x14ac:dyDescent="0.25">
      <c r="B62" s="20"/>
      <c r="L62" s="1"/>
      <c r="M62" s="3"/>
      <c r="N62" s="3">
        <v>7.0000000000000007E-5</v>
      </c>
      <c r="O62" s="4">
        <f t="shared" si="2"/>
        <v>43</v>
      </c>
      <c r="P62" s="4">
        <f t="shared" si="3"/>
        <v>46</v>
      </c>
      <c r="Q62"/>
      <c r="R62"/>
      <c r="S62"/>
    </row>
    <row r="63" spans="2:19" x14ac:dyDescent="0.25">
      <c r="B63" s="20"/>
      <c r="C63" s="20"/>
      <c r="L63" s="1"/>
      <c r="M63" s="3"/>
      <c r="N63" s="3">
        <v>7.9999999999999979E-5</v>
      </c>
      <c r="O63" s="4">
        <f t="shared" si="2"/>
        <v>43</v>
      </c>
      <c r="P63" s="4">
        <f t="shared" si="3"/>
        <v>46</v>
      </c>
      <c r="Q63"/>
      <c r="R63"/>
      <c r="S63"/>
    </row>
    <row r="64" spans="2:19" x14ac:dyDescent="0.25">
      <c r="B64" s="20"/>
      <c r="C64" s="20"/>
      <c r="L64" s="1"/>
      <c r="M64" s="3"/>
      <c r="N64" s="3">
        <v>9.0000000000000006E-5</v>
      </c>
      <c r="O64" s="4">
        <f t="shared" si="2"/>
        <v>43</v>
      </c>
      <c r="P64" s="4">
        <f t="shared" si="3"/>
        <v>46</v>
      </c>
      <c r="Q64"/>
      <c r="R64"/>
      <c r="S64"/>
    </row>
    <row r="65" spans="2:19" x14ac:dyDescent="0.25">
      <c r="B65" s="20"/>
      <c r="L65" s="1"/>
      <c r="M65" s="3"/>
      <c r="N65" s="3">
        <v>9.9999999999999978E-5</v>
      </c>
      <c r="O65" s="4">
        <f t="shared" si="2"/>
        <v>43</v>
      </c>
      <c r="P65" s="4">
        <f t="shared" si="3"/>
        <v>46</v>
      </c>
      <c r="Q65"/>
      <c r="R65"/>
      <c r="S65"/>
    </row>
    <row r="66" spans="2:19" x14ac:dyDescent="0.25">
      <c r="B66" s="20"/>
      <c r="L66" s="1"/>
      <c r="M66" s="3"/>
      <c r="N66" s="3">
        <v>1.9999999999999996E-4</v>
      </c>
      <c r="O66" s="4">
        <f t="shared" ref="O66:O97" si="4">COUNTIF(J:J,"&gt;="&amp;N66)</f>
        <v>43</v>
      </c>
      <c r="P66" s="4">
        <f t="shared" ref="P66:P101" si="5">COUNTIF(K:K,"&gt;="&amp;N66)</f>
        <v>46</v>
      </c>
      <c r="Q66"/>
      <c r="R66"/>
      <c r="S66"/>
    </row>
    <row r="67" spans="2:19" x14ac:dyDescent="0.25">
      <c r="B67" s="20"/>
      <c r="L67" s="1"/>
      <c r="M67" s="3"/>
      <c r="N67" s="3">
        <v>3.0000000000000003E-4</v>
      </c>
      <c r="O67" s="4">
        <f t="shared" si="4"/>
        <v>43</v>
      </c>
      <c r="P67" s="4">
        <f t="shared" si="5"/>
        <v>45</v>
      </c>
      <c r="Q67"/>
      <c r="R67"/>
      <c r="S67"/>
    </row>
    <row r="68" spans="2:19" x14ac:dyDescent="0.25">
      <c r="B68" s="20"/>
      <c r="C68" s="20"/>
      <c r="L68" s="1"/>
      <c r="M68" s="3"/>
      <c r="N68" s="3">
        <v>3.9999999999999991E-4</v>
      </c>
      <c r="O68" s="4">
        <f t="shared" si="4"/>
        <v>41</v>
      </c>
      <c r="P68" s="4">
        <f t="shared" si="5"/>
        <v>44</v>
      </c>
      <c r="Q68"/>
      <c r="R68"/>
      <c r="S68"/>
    </row>
    <row r="69" spans="2:19" x14ac:dyDescent="0.25">
      <c r="B69" s="20"/>
      <c r="C69" s="20"/>
      <c r="L69" s="1"/>
      <c r="M69" s="3"/>
      <c r="N69" s="3">
        <v>5.0000000000000001E-4</v>
      </c>
      <c r="O69" s="4">
        <f t="shared" si="4"/>
        <v>40</v>
      </c>
      <c r="P69" s="4">
        <f t="shared" si="5"/>
        <v>43</v>
      </c>
      <c r="Q69"/>
      <c r="R69"/>
      <c r="S69"/>
    </row>
    <row r="70" spans="2:19" x14ac:dyDescent="0.25">
      <c r="B70" s="20"/>
      <c r="L70" s="1"/>
      <c r="M70" s="3"/>
      <c r="N70" s="3">
        <v>6.0000000000000006E-4</v>
      </c>
      <c r="O70" s="4">
        <f t="shared" si="4"/>
        <v>37</v>
      </c>
      <c r="P70" s="4">
        <f t="shared" si="5"/>
        <v>41</v>
      </c>
      <c r="Q70"/>
      <c r="R70"/>
      <c r="S70"/>
    </row>
    <row r="71" spans="2:19" x14ac:dyDescent="0.25">
      <c r="L71" s="1"/>
      <c r="M71" s="3"/>
      <c r="N71" s="3">
        <v>7.000000000000001E-4</v>
      </c>
      <c r="O71" s="4">
        <f t="shared" si="4"/>
        <v>37</v>
      </c>
      <c r="P71" s="4">
        <f t="shared" si="5"/>
        <v>41</v>
      </c>
      <c r="Q71"/>
      <c r="R71"/>
      <c r="S71"/>
    </row>
    <row r="72" spans="2:19" x14ac:dyDescent="0.25">
      <c r="B72" s="20"/>
      <c r="L72" s="1"/>
      <c r="M72" s="3"/>
      <c r="N72" s="3">
        <v>7.9999999999999982E-4</v>
      </c>
      <c r="O72" s="4">
        <f t="shared" si="4"/>
        <v>36</v>
      </c>
      <c r="P72" s="4">
        <f t="shared" si="5"/>
        <v>41</v>
      </c>
      <c r="Q72"/>
      <c r="R72"/>
      <c r="S72"/>
    </row>
    <row r="73" spans="2:19" x14ac:dyDescent="0.25">
      <c r="L73" s="1"/>
      <c r="M73" s="3"/>
      <c r="N73" s="3">
        <v>9.0000000000000008E-4</v>
      </c>
      <c r="O73" s="4">
        <f t="shared" si="4"/>
        <v>35</v>
      </c>
      <c r="P73" s="4">
        <f t="shared" si="5"/>
        <v>41</v>
      </c>
      <c r="Q73"/>
      <c r="R73"/>
      <c r="S73"/>
    </row>
    <row r="74" spans="2:19" x14ac:dyDescent="0.25">
      <c r="B74" s="20"/>
      <c r="L74" s="1"/>
      <c r="M74" s="3" t="s">
        <v>12</v>
      </c>
      <c r="N74" s="3">
        <v>9.999999999999998E-4</v>
      </c>
      <c r="O74" s="4">
        <f t="shared" si="4"/>
        <v>35</v>
      </c>
      <c r="P74" s="4">
        <f t="shared" si="5"/>
        <v>40</v>
      </c>
      <c r="Q74"/>
      <c r="R74"/>
      <c r="S74"/>
    </row>
    <row r="75" spans="2:19" x14ac:dyDescent="0.25">
      <c r="L75" s="1"/>
      <c r="M75" s="3"/>
      <c r="N75" s="3">
        <v>1.9999999999999996E-3</v>
      </c>
      <c r="O75" s="4">
        <f t="shared" si="4"/>
        <v>29</v>
      </c>
      <c r="P75" s="4">
        <f t="shared" si="5"/>
        <v>36</v>
      </c>
      <c r="Q75"/>
      <c r="R75"/>
      <c r="S75"/>
    </row>
    <row r="76" spans="2:19" x14ac:dyDescent="0.25">
      <c r="L76" s="1"/>
      <c r="M76" s="3"/>
      <c r="N76" s="3">
        <v>3.0000000000000001E-3</v>
      </c>
      <c r="O76" s="4">
        <f t="shared" si="4"/>
        <v>24</v>
      </c>
      <c r="P76" s="4">
        <f t="shared" si="5"/>
        <v>33</v>
      </c>
      <c r="Q76"/>
      <c r="R76"/>
      <c r="S76"/>
    </row>
    <row r="77" spans="2:19" x14ac:dyDescent="0.25">
      <c r="L77" s="1"/>
      <c r="M77" s="3"/>
      <c r="N77" s="3">
        <v>3.9999999999999992E-3</v>
      </c>
      <c r="O77" s="4">
        <f t="shared" si="4"/>
        <v>22</v>
      </c>
      <c r="P77" s="4">
        <f t="shared" si="5"/>
        <v>30</v>
      </c>
      <c r="Q77"/>
      <c r="R77"/>
      <c r="S77"/>
    </row>
    <row r="78" spans="2:19" x14ac:dyDescent="0.25">
      <c r="L78" s="1"/>
      <c r="M78" s="3"/>
      <c r="N78" s="3">
        <v>5.0000000000000001E-3</v>
      </c>
      <c r="O78" s="4">
        <f t="shared" si="4"/>
        <v>21</v>
      </c>
      <c r="P78" s="4">
        <f t="shared" si="5"/>
        <v>29</v>
      </c>
      <c r="Q78"/>
      <c r="R78"/>
      <c r="S78"/>
    </row>
    <row r="79" spans="2:19" x14ac:dyDescent="0.25">
      <c r="L79" s="1"/>
      <c r="M79" s="3"/>
      <c r="N79" s="3">
        <v>6.0000000000000001E-3</v>
      </c>
      <c r="O79" s="4">
        <f t="shared" si="4"/>
        <v>20</v>
      </c>
      <c r="P79" s="4">
        <f t="shared" si="5"/>
        <v>29</v>
      </c>
      <c r="Q79"/>
      <c r="R79"/>
      <c r="S79"/>
    </row>
    <row r="80" spans="2:19" x14ac:dyDescent="0.25">
      <c r="L80" s="1"/>
      <c r="M80" s="3"/>
      <c r="N80" s="3">
        <v>7.000000000000001E-3</v>
      </c>
      <c r="O80" s="4">
        <f t="shared" si="4"/>
        <v>19</v>
      </c>
      <c r="P80" s="4">
        <f t="shared" si="5"/>
        <v>29</v>
      </c>
      <c r="Q80"/>
      <c r="R80"/>
      <c r="S80"/>
    </row>
    <row r="81" spans="12:19" x14ac:dyDescent="0.25">
      <c r="L81" s="1"/>
      <c r="M81" s="3"/>
      <c r="N81" s="3">
        <v>7.9999999999999984E-3</v>
      </c>
      <c r="O81" s="4">
        <f t="shared" si="4"/>
        <v>18</v>
      </c>
      <c r="P81" s="4">
        <f t="shared" si="5"/>
        <v>29</v>
      </c>
      <c r="Q81"/>
      <c r="R81"/>
      <c r="S81"/>
    </row>
    <row r="82" spans="12:19" x14ac:dyDescent="0.25">
      <c r="L82" s="1"/>
      <c r="M82" s="3"/>
      <c r="N82" s="3">
        <v>9.0000000000000011E-3</v>
      </c>
      <c r="O82" s="4">
        <f t="shared" si="4"/>
        <v>17</v>
      </c>
      <c r="P82" s="4">
        <f t="shared" si="5"/>
        <v>26</v>
      </c>
      <c r="Q82"/>
      <c r="R82"/>
      <c r="S82"/>
    </row>
    <row r="83" spans="12:19" x14ac:dyDescent="0.25">
      <c r="L83" s="1"/>
      <c r="M83" s="3"/>
      <c r="N83" s="3">
        <v>9.9999999999999985E-3</v>
      </c>
      <c r="O83" s="4">
        <f t="shared" si="4"/>
        <v>13</v>
      </c>
      <c r="P83" s="4">
        <f t="shared" si="5"/>
        <v>22</v>
      </c>
      <c r="Q83"/>
      <c r="R83"/>
      <c r="S83"/>
    </row>
    <row r="84" spans="12:19" x14ac:dyDescent="0.25">
      <c r="L84" s="1"/>
      <c r="M84" s="3"/>
      <c r="N84" s="3">
        <v>1.9999999999999997E-2</v>
      </c>
      <c r="O84" s="4">
        <f t="shared" si="4"/>
        <v>8</v>
      </c>
      <c r="P84" s="4">
        <f t="shared" si="5"/>
        <v>17</v>
      </c>
      <c r="Q84"/>
      <c r="R84"/>
      <c r="S84"/>
    </row>
    <row r="85" spans="12:19" x14ac:dyDescent="0.25">
      <c r="L85" s="1"/>
      <c r="M85" s="3"/>
      <c r="N85" s="3">
        <v>0.03</v>
      </c>
      <c r="O85" s="4">
        <f t="shared" si="4"/>
        <v>3</v>
      </c>
      <c r="P85" s="4">
        <f t="shared" si="5"/>
        <v>10</v>
      </c>
      <c r="Q85"/>
      <c r="R85"/>
      <c r="S85"/>
    </row>
    <row r="86" spans="12:19" x14ac:dyDescent="0.25">
      <c r="L86" s="1"/>
      <c r="M86" s="3"/>
      <c r="N86" s="3">
        <v>4.1300000000000003E-2</v>
      </c>
      <c r="O86" s="4">
        <f t="shared" si="4"/>
        <v>1</v>
      </c>
      <c r="P86" s="4">
        <f t="shared" si="5"/>
        <v>8</v>
      </c>
      <c r="Q86"/>
      <c r="R86"/>
      <c r="S86"/>
    </row>
    <row r="87" spans="12:19" x14ac:dyDescent="0.25">
      <c r="L87" s="1"/>
      <c r="M87" s="3"/>
      <c r="N87" s="3">
        <v>0.05</v>
      </c>
      <c r="O87" s="4">
        <f t="shared" si="4"/>
        <v>1</v>
      </c>
      <c r="P87" s="4">
        <f t="shared" si="5"/>
        <v>4</v>
      </c>
      <c r="Q87"/>
      <c r="R87"/>
      <c r="S87"/>
    </row>
    <row r="88" spans="12:19" x14ac:dyDescent="0.25">
      <c r="L88" s="1"/>
      <c r="M88" s="3"/>
      <c r="N88" s="3">
        <v>0.06</v>
      </c>
      <c r="O88" s="4">
        <f t="shared" si="4"/>
        <v>1</v>
      </c>
      <c r="P88" s="4">
        <f t="shared" si="5"/>
        <v>4</v>
      </c>
      <c r="Q88"/>
      <c r="R88"/>
      <c r="S88"/>
    </row>
    <row r="89" spans="12:19" x14ac:dyDescent="0.25">
      <c r="L89" s="1"/>
      <c r="M89" s="3"/>
      <c r="N89" s="3">
        <v>7.0000000000000007E-2</v>
      </c>
      <c r="O89" s="4">
        <f t="shared" si="4"/>
        <v>1</v>
      </c>
      <c r="P89" s="4">
        <f t="shared" si="5"/>
        <v>4</v>
      </c>
      <c r="Q89"/>
      <c r="R89"/>
      <c r="S89"/>
    </row>
    <row r="90" spans="12:19" x14ac:dyDescent="0.25">
      <c r="L90" s="1"/>
      <c r="M90" s="3"/>
      <c r="N90" s="3">
        <v>7.9999999999999988E-2</v>
      </c>
      <c r="O90" s="4">
        <f t="shared" si="4"/>
        <v>0</v>
      </c>
      <c r="P90" s="4">
        <f t="shared" si="5"/>
        <v>4</v>
      </c>
      <c r="Q90"/>
      <c r="R90"/>
      <c r="S90"/>
    </row>
    <row r="91" spans="12:19" x14ac:dyDescent="0.25">
      <c r="L91" s="1"/>
      <c r="M91" s="3"/>
      <c r="N91" s="3">
        <v>9.0000000000000011E-2</v>
      </c>
      <c r="O91" s="4">
        <f t="shared" si="4"/>
        <v>0</v>
      </c>
      <c r="P91" s="4">
        <f t="shared" si="5"/>
        <v>3</v>
      </c>
      <c r="Q91"/>
      <c r="R91"/>
      <c r="S91"/>
    </row>
    <row r="92" spans="12:19" x14ac:dyDescent="0.25">
      <c r="L92" s="1"/>
      <c r="M92" s="3"/>
      <c r="N92" s="3">
        <v>9.9999999999999978E-2</v>
      </c>
      <c r="O92" s="4">
        <f t="shared" si="4"/>
        <v>0</v>
      </c>
      <c r="P92" s="4">
        <f t="shared" si="5"/>
        <v>1</v>
      </c>
      <c r="Q92"/>
      <c r="R92"/>
      <c r="S92"/>
    </row>
    <row r="93" spans="12:19" x14ac:dyDescent="0.25">
      <c r="L93" s="1"/>
      <c r="M93" s="3"/>
      <c r="N93" s="3">
        <v>0.11</v>
      </c>
      <c r="O93" s="4">
        <f t="shared" si="4"/>
        <v>0</v>
      </c>
      <c r="P93" s="4">
        <f t="shared" si="5"/>
        <v>0</v>
      </c>
      <c r="Q93"/>
      <c r="R93"/>
      <c r="S93"/>
    </row>
    <row r="94" spans="12:19" x14ac:dyDescent="0.25">
      <c r="L94" s="1"/>
      <c r="M94" s="3"/>
      <c r="N94" s="3">
        <v>0.12</v>
      </c>
      <c r="O94" s="4">
        <f t="shared" si="4"/>
        <v>0</v>
      </c>
      <c r="P94" s="4">
        <f t="shared" si="5"/>
        <v>0</v>
      </c>
      <c r="Q94"/>
      <c r="R94"/>
      <c r="S94"/>
    </row>
    <row r="95" spans="12:19" x14ac:dyDescent="0.25">
      <c r="L95" s="1"/>
      <c r="M95" s="3"/>
      <c r="N95" s="3">
        <v>0.13</v>
      </c>
      <c r="O95" s="4">
        <f t="shared" si="4"/>
        <v>0</v>
      </c>
      <c r="P95" s="4">
        <f t="shared" si="5"/>
        <v>0</v>
      </c>
      <c r="Q95"/>
      <c r="R95"/>
      <c r="S95"/>
    </row>
    <row r="96" spans="12:19" x14ac:dyDescent="0.25">
      <c r="L96" s="1"/>
      <c r="M96" s="3"/>
      <c r="N96" s="3">
        <v>0.14000000000000001</v>
      </c>
      <c r="O96" s="4">
        <f t="shared" si="4"/>
        <v>0</v>
      </c>
      <c r="P96" s="4">
        <f t="shared" si="5"/>
        <v>0</v>
      </c>
      <c r="Q96"/>
      <c r="R96"/>
      <c r="S96"/>
    </row>
    <row r="97" spans="12:19" x14ac:dyDescent="0.25">
      <c r="L97" s="1"/>
      <c r="M97" s="3"/>
      <c r="N97" s="3">
        <v>0.15</v>
      </c>
      <c r="O97" s="4">
        <f t="shared" si="4"/>
        <v>0</v>
      </c>
      <c r="P97" s="4">
        <f t="shared" si="5"/>
        <v>0</v>
      </c>
      <c r="Q97"/>
      <c r="R97"/>
      <c r="S97"/>
    </row>
    <row r="98" spans="12:19" x14ac:dyDescent="0.25">
      <c r="L98" s="1"/>
      <c r="M98" s="3"/>
      <c r="N98" s="3">
        <v>0.16</v>
      </c>
      <c r="O98" s="4">
        <f t="shared" ref="O98:O101" si="6">COUNTIF(J:J,"&gt;="&amp;N98)</f>
        <v>0</v>
      </c>
      <c r="P98" s="4">
        <f t="shared" si="5"/>
        <v>0</v>
      </c>
      <c r="Q98"/>
      <c r="R98"/>
      <c r="S98"/>
    </row>
    <row r="99" spans="12:19" x14ac:dyDescent="0.25">
      <c r="L99" s="1"/>
      <c r="M99" s="3"/>
      <c r="N99" s="3">
        <v>0.17</v>
      </c>
      <c r="O99" s="4">
        <f t="shared" si="6"/>
        <v>0</v>
      </c>
      <c r="P99" s="4">
        <f t="shared" si="5"/>
        <v>0</v>
      </c>
      <c r="Q99"/>
      <c r="R99"/>
      <c r="S99"/>
    </row>
    <row r="100" spans="12:19" x14ac:dyDescent="0.25">
      <c r="L100" s="1"/>
      <c r="M100" s="3"/>
      <c r="N100" s="3">
        <v>0.90000000000000013</v>
      </c>
      <c r="O100" s="4">
        <f t="shared" si="6"/>
        <v>0</v>
      </c>
      <c r="P100" s="4">
        <f t="shared" si="5"/>
        <v>0</v>
      </c>
      <c r="Q100"/>
      <c r="R100"/>
      <c r="S100"/>
    </row>
    <row r="101" spans="12:19" x14ac:dyDescent="0.25">
      <c r="L101" s="1"/>
      <c r="M101" s="3" t="s">
        <v>8</v>
      </c>
      <c r="N101" s="3">
        <v>0.99999999999999978</v>
      </c>
      <c r="O101" s="4">
        <f t="shared" si="6"/>
        <v>0</v>
      </c>
      <c r="P101" s="4">
        <f t="shared" si="5"/>
        <v>0</v>
      </c>
      <c r="Q101"/>
      <c r="R101"/>
      <c r="S101"/>
    </row>
  </sheetData>
  <sortState ref="B2:F63">
    <sortCondition descending="1" ref="F1"/>
  </sortState>
  <conditionalFormatting sqref="E1:E1048576">
    <cfRule type="dataBar" priority="4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{75B2B693-4F32-4AAE-8F6A-DA1F1738671D}</x14:id>
        </ext>
      </extLst>
    </cfRule>
  </conditionalFormatting>
  <conditionalFormatting sqref="F1:F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{421C692F-C529-4653-A120-446189AAA66D}</x14:id>
        </ext>
      </extLst>
    </cfRule>
  </conditionalFormatting>
  <conditionalFormatting sqref="G1:K1048576">
    <cfRule type="dataBar" priority="2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{7A0C32CA-3AF4-46F1-8264-BD5E537622E0}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AD_API">
                <anchor moveWithCells="1" sizeWithCells="1">
                  <from>
                    <xdr:col>22</xdr:col>
                    <xdr:colOff>1009650</xdr:colOff>
                    <xdr:row>33</xdr:row>
                    <xdr:rowOff>47625</xdr:rowOff>
                  </from>
                  <to>
                    <xdr:col>24</xdr:col>
                    <xdr:colOff>28575</xdr:colOff>
                    <xdr:row>35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B2B693-4F32-4AAE-8F6A-DA1F1738671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421C692F-C529-4653-A120-446189AAA66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  <x14:conditionalFormatting xmlns:xm="http://schemas.microsoft.com/office/excel/2006/main">
          <x14:cfRule type="dataBar" id="{7A0C32CA-3AF4-46F1-8264-BD5E537622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G1:K1048576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7"/>
  <sheetViews>
    <sheetView workbookViewId="0">
      <selection activeCell="C2" sqref="C2"/>
    </sheetView>
  </sheetViews>
  <sheetFormatPr defaultRowHeight="15" x14ac:dyDescent="0.25"/>
  <cols>
    <col min="1" max="1" width="33.42578125" bestFit="1" customWidth="1"/>
    <col min="2" max="2" width="21.85546875" customWidth="1"/>
    <col min="3" max="3" width="29.140625" customWidth="1"/>
    <col min="4" max="4" width="32" style="1" bestFit="1" customWidth="1"/>
    <col min="5" max="5" width="16.140625" style="18" customWidth="1"/>
    <col min="6" max="6" width="15.7109375" style="12" customWidth="1"/>
    <col min="7" max="7" width="65" customWidth="1"/>
    <col min="11" max="11" width="9.7109375" bestFit="1" customWidth="1"/>
  </cols>
  <sheetData>
    <row r="1" spans="1:12" s="13" customFormat="1" ht="42" x14ac:dyDescent="0.35">
      <c r="A1" s="13" t="s">
        <v>45</v>
      </c>
      <c r="B1" s="15" t="s">
        <v>21</v>
      </c>
      <c r="C1" s="13" t="s">
        <v>0</v>
      </c>
      <c r="D1" s="13" t="s">
        <v>20</v>
      </c>
      <c r="E1" s="13" t="s">
        <v>13</v>
      </c>
      <c r="F1" s="22" t="s">
        <v>15</v>
      </c>
      <c r="G1" s="15" t="s">
        <v>16</v>
      </c>
      <c r="I1" s="15"/>
      <c r="J1" s="15"/>
      <c r="K1" s="16"/>
      <c r="L1" s="16"/>
    </row>
    <row r="2" spans="1:12" x14ac:dyDescent="0.25">
      <c r="A2" t="s">
        <v>139</v>
      </c>
      <c r="B2" t="s">
        <v>145</v>
      </c>
      <c r="C2" t="s">
        <v>151</v>
      </c>
      <c r="D2" s="1" t="s">
        <v>14</v>
      </c>
      <c r="E2" s="18">
        <v>43640</v>
      </c>
      <c r="F2" s="12">
        <v>0</v>
      </c>
    </row>
    <row r="3" spans="1:12" x14ac:dyDescent="0.25">
      <c r="A3" t="s">
        <v>140</v>
      </c>
      <c r="B3" t="s">
        <v>146</v>
      </c>
      <c r="C3" t="s">
        <v>152</v>
      </c>
      <c r="D3" s="1" t="s">
        <v>14</v>
      </c>
      <c r="E3" s="18">
        <v>43656</v>
      </c>
      <c r="F3" s="12">
        <v>0</v>
      </c>
    </row>
    <row r="4" spans="1:12" x14ac:dyDescent="0.25">
      <c r="A4" t="s">
        <v>141</v>
      </c>
      <c r="B4" t="s">
        <v>147</v>
      </c>
      <c r="C4" t="s">
        <v>153</v>
      </c>
      <c r="D4" s="1" t="s">
        <v>71</v>
      </c>
      <c r="E4" s="18">
        <v>43661</v>
      </c>
      <c r="F4" s="12">
        <v>137.00587357927265</v>
      </c>
    </row>
    <row r="5" spans="1:12" x14ac:dyDescent="0.25">
      <c r="A5" t="s">
        <v>142</v>
      </c>
      <c r="B5" t="s">
        <v>148</v>
      </c>
      <c r="C5" t="s">
        <v>154</v>
      </c>
      <c r="D5" s="1" t="s">
        <v>14</v>
      </c>
      <c r="E5" s="18">
        <v>43665</v>
      </c>
      <c r="F5" s="12">
        <v>0.31488088806828601</v>
      </c>
    </row>
    <row r="6" spans="1:12" x14ac:dyDescent="0.25">
      <c r="A6" t="s">
        <v>143</v>
      </c>
      <c r="B6" t="s">
        <v>149</v>
      </c>
      <c r="C6" t="s">
        <v>155</v>
      </c>
      <c r="D6" s="1" t="s">
        <v>14</v>
      </c>
      <c r="E6" s="18">
        <v>43665</v>
      </c>
      <c r="F6" s="12">
        <v>0</v>
      </c>
    </row>
    <row r="7" spans="1:12" x14ac:dyDescent="0.25">
      <c r="A7" t="s">
        <v>144</v>
      </c>
      <c r="B7" t="s">
        <v>150</v>
      </c>
      <c r="C7" t="s">
        <v>156</v>
      </c>
      <c r="D7" s="1" t="s">
        <v>75</v>
      </c>
      <c r="E7" s="18">
        <v>43665</v>
      </c>
      <c r="F7" s="12">
        <v>830.18450400000006</v>
      </c>
    </row>
  </sheetData>
  <sortState ref="C2:G19">
    <sortCondition descending="1" ref="E2:E19"/>
  </sortState>
  <conditionalFormatting sqref="E2:E1048576">
    <cfRule type="cellIs" dxfId="3" priority="4" operator="lessThan">
      <formula>TODAY()-30</formula>
    </cfRule>
    <cfRule type="cellIs" dxfId="2" priority="5" operator="lessThan">
      <formula>TODAY()-7</formula>
    </cfRule>
    <cfRule type="cellIs" dxfId="1" priority="6" operator="lessThan">
      <formula>TODAY()</formula>
    </cfRule>
    <cfRule type="cellIs" dxfId="0" priority="7" operator="lessThanOrEqual">
      <formula>TODAY()</formula>
    </cfRule>
  </conditionalFormatting>
  <conditionalFormatting sqref="F1">
    <cfRule type="dataBar" priority="3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{C778D502-F665-485C-A423-1D445CE2A9AD}</x14:id>
        </ext>
      </extLst>
    </cfRule>
  </conditionalFormatting>
  <conditionalFormatting sqref="G1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{7A664BAF-29F2-4495-BB12-FD1CF18C55E3}</x14:id>
        </ext>
      </extLst>
    </cfRule>
  </conditionalFormatting>
  <conditionalFormatting sqref="B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{6440CA89-29B6-4164-B7C7-4D2C72578E82}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78D502-F665-485C-A423-1D445CE2A9A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  <x14:conditionalFormatting xmlns:xm="http://schemas.microsoft.com/office/excel/2006/main">
          <x14:cfRule type="dataBar" id="{7A664BAF-29F2-4495-BB12-FD1CF18C55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</xm:sqref>
        </x14:conditionalFormatting>
        <x14:conditionalFormatting xmlns:xm="http://schemas.microsoft.com/office/excel/2006/main">
          <x14:cfRule type="dataBar" id="{6440CA89-29B6-4164-B7C7-4D2C72578E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zoomScaleNormal="100" workbookViewId="0">
      <pane ySplit="1" topLeftCell="A2" activePane="bottomLeft" state="frozen"/>
      <selection pane="bottomLeft" activeCell="A27" sqref="A27"/>
    </sheetView>
  </sheetViews>
  <sheetFormatPr defaultRowHeight="15" x14ac:dyDescent="0.25"/>
  <cols>
    <col min="1" max="1" width="33.42578125" bestFit="1" customWidth="1"/>
    <col min="2" max="2" width="70.7109375" bestFit="1" customWidth="1"/>
    <col min="3" max="3" width="68.5703125" bestFit="1" customWidth="1"/>
    <col min="4" max="4" width="13" style="21" customWidth="1"/>
    <col min="5" max="5" width="18.140625" style="3" customWidth="1"/>
    <col min="6" max="6" width="16.42578125" style="3" hidden="1" customWidth="1"/>
    <col min="8" max="8" width="14.42578125" bestFit="1" customWidth="1"/>
  </cols>
  <sheetData>
    <row r="1" spans="1:12" s="13" customFormat="1" ht="21" x14ac:dyDescent="0.35">
      <c r="A1" s="13" t="s">
        <v>45</v>
      </c>
      <c r="B1" s="13" t="s">
        <v>21</v>
      </c>
      <c r="C1" s="13" t="s">
        <v>0</v>
      </c>
      <c r="D1" s="13" t="s">
        <v>42</v>
      </c>
      <c r="E1" s="15" t="s">
        <v>43</v>
      </c>
      <c r="F1" s="15" t="s">
        <v>44</v>
      </c>
      <c r="I1" s="15"/>
      <c r="J1" s="15"/>
      <c r="K1" s="16"/>
      <c r="L1" s="16"/>
    </row>
    <row r="2" spans="1:12" x14ac:dyDescent="0.25">
      <c r="A2" t="s">
        <v>51</v>
      </c>
      <c r="B2" t="s">
        <v>25</v>
      </c>
      <c r="C2" t="s">
        <v>157</v>
      </c>
      <c r="D2" s="21">
        <v>1.5122344100000001E-2</v>
      </c>
      <c r="E2" s="3">
        <v>-4.8487765589999995E-2</v>
      </c>
      <c r="F2" s="3">
        <v>4.8487765589999995E-2</v>
      </c>
    </row>
    <row r="3" spans="1:12" x14ac:dyDescent="0.25">
      <c r="A3" t="s">
        <v>66</v>
      </c>
      <c r="B3" t="s">
        <v>37</v>
      </c>
      <c r="C3" t="s">
        <v>157</v>
      </c>
      <c r="D3" s="21">
        <v>2.4400260999999996E-2</v>
      </c>
      <c r="E3" s="3">
        <v>-4.7559973900000004E-2</v>
      </c>
      <c r="F3" s="3">
        <v>4.7559973900000004E-2</v>
      </c>
      <c r="G3" s="11"/>
      <c r="H3" s="3" t="s">
        <v>74</v>
      </c>
    </row>
    <row r="4" spans="1:12" x14ac:dyDescent="0.25">
      <c r="A4" t="s">
        <v>50</v>
      </c>
      <c r="B4" s="23" t="s">
        <v>23</v>
      </c>
      <c r="C4" t="s">
        <v>157</v>
      </c>
      <c r="D4" s="24">
        <v>0.02</v>
      </c>
      <c r="E4" s="25">
        <v>-2.3999999999999997E-2</v>
      </c>
      <c r="F4" s="3">
        <v>2.3999999999999997E-2</v>
      </c>
      <c r="G4" s="11"/>
      <c r="H4" s="3"/>
    </row>
    <row r="5" spans="1:12" x14ac:dyDescent="0.25">
      <c r="A5" t="s">
        <v>52</v>
      </c>
      <c r="B5" t="s">
        <v>34</v>
      </c>
      <c r="C5" t="s">
        <v>157</v>
      </c>
      <c r="D5" s="21">
        <v>0.02</v>
      </c>
      <c r="E5" s="3">
        <v>-2.3999999999999997E-2</v>
      </c>
      <c r="F5" s="3">
        <v>2.3999999999999997E-2</v>
      </c>
    </row>
    <row r="6" spans="1:12" x14ac:dyDescent="0.25">
      <c r="A6" t="s">
        <v>53</v>
      </c>
      <c r="B6" s="23" t="s">
        <v>27</v>
      </c>
      <c r="C6" t="s">
        <v>157</v>
      </c>
      <c r="D6" s="24">
        <v>2.4800000000000003E-2</v>
      </c>
      <c r="E6" s="25">
        <v>-2.3759999999999996E-2</v>
      </c>
      <c r="F6" s="25">
        <v>2.3759999999999996E-2</v>
      </c>
    </row>
    <row r="7" spans="1:12" x14ac:dyDescent="0.25">
      <c r="A7" t="s">
        <v>62</v>
      </c>
      <c r="B7" s="23" t="s">
        <v>22</v>
      </c>
      <c r="C7" t="s">
        <v>157</v>
      </c>
      <c r="D7" s="24">
        <v>4.1344152199999998E-2</v>
      </c>
      <c r="E7" s="25">
        <v>-2.2932792390000001E-2</v>
      </c>
      <c r="F7" s="25">
        <v>2.2932792390000001E-2</v>
      </c>
    </row>
    <row r="8" spans="1:12" x14ac:dyDescent="0.25">
      <c r="A8" t="s">
        <v>54</v>
      </c>
      <c r="B8" s="23" t="s">
        <v>30</v>
      </c>
      <c r="C8" t="s">
        <v>157</v>
      </c>
      <c r="D8" s="24">
        <v>0.19540179539999999</v>
      </c>
      <c r="E8" s="25">
        <v>-1.5229910229999999E-2</v>
      </c>
      <c r="F8" s="3">
        <v>1.5229910229999999E-2</v>
      </c>
    </row>
    <row r="9" spans="1:12" x14ac:dyDescent="0.25">
      <c r="A9" t="s">
        <v>65</v>
      </c>
      <c r="B9" s="23" t="s">
        <v>40</v>
      </c>
      <c r="C9" t="s">
        <v>157</v>
      </c>
      <c r="D9" s="24">
        <v>1.74505405E-2</v>
      </c>
      <c r="E9" s="25">
        <v>-9.6509891900000006E-3</v>
      </c>
      <c r="F9" s="25">
        <v>9.6509891900000006E-3</v>
      </c>
    </row>
    <row r="10" spans="1:12" x14ac:dyDescent="0.25">
      <c r="A10" t="s">
        <v>67</v>
      </c>
      <c r="B10" s="23" t="s">
        <v>36</v>
      </c>
      <c r="C10" t="s">
        <v>157</v>
      </c>
      <c r="D10" s="24">
        <v>2.6855017999999998E-2</v>
      </c>
      <c r="E10" s="25">
        <v>-9.4628996399999995E-3</v>
      </c>
      <c r="F10" s="25">
        <v>9.4628996399999995E-3</v>
      </c>
    </row>
    <row r="11" spans="1:12" x14ac:dyDescent="0.25">
      <c r="A11" t="s">
        <v>49</v>
      </c>
      <c r="B11" t="s">
        <v>26</v>
      </c>
      <c r="C11" t="s">
        <v>157</v>
      </c>
      <c r="D11" s="21">
        <v>0.111439287</v>
      </c>
      <c r="E11" s="3">
        <v>-7.7712142599999992E-3</v>
      </c>
      <c r="F11" s="3">
        <v>7.7712142599999992E-3</v>
      </c>
      <c r="G11" s="23"/>
    </row>
    <row r="12" spans="1:12" x14ac:dyDescent="0.25">
      <c r="A12" t="s">
        <v>64</v>
      </c>
      <c r="B12" s="23" t="s">
        <v>39</v>
      </c>
      <c r="C12" t="s">
        <v>157</v>
      </c>
      <c r="D12" s="24">
        <v>0.98633221933333326</v>
      </c>
      <c r="E12" s="25">
        <v>7.2949832899999994E-3</v>
      </c>
      <c r="F12" s="25">
        <v>7.2949832899999994E-3</v>
      </c>
      <c r="G12" s="23"/>
    </row>
    <row r="13" spans="1:12" x14ac:dyDescent="0.25">
      <c r="A13" t="s">
        <v>55</v>
      </c>
      <c r="B13" s="23" t="s">
        <v>41</v>
      </c>
      <c r="C13" t="s">
        <v>157</v>
      </c>
      <c r="D13" s="24">
        <v>0.91897580441176474</v>
      </c>
      <c r="E13" s="25">
        <v>5.6980709400000001E-3</v>
      </c>
      <c r="F13" s="25">
        <v>5.6980709400000001E-3</v>
      </c>
      <c r="G13" s="23"/>
    </row>
    <row r="14" spans="1:12" x14ac:dyDescent="0.25">
      <c r="A14" t="s">
        <v>61</v>
      </c>
      <c r="B14" t="s">
        <v>33</v>
      </c>
      <c r="C14" t="s">
        <v>157</v>
      </c>
      <c r="D14" s="21">
        <v>0.95496065999999991</v>
      </c>
      <c r="E14" s="3">
        <v>4.5496065999999996E-3</v>
      </c>
      <c r="F14" s="3">
        <v>4.5496065999999996E-3</v>
      </c>
      <c r="G14" s="25"/>
    </row>
    <row r="15" spans="1:12" x14ac:dyDescent="0.25">
      <c r="A15" t="s">
        <v>72</v>
      </c>
      <c r="B15" t="s">
        <v>69</v>
      </c>
      <c r="C15" t="s">
        <v>157</v>
      </c>
      <c r="D15" s="21">
        <v>0.47594374329159211</v>
      </c>
      <c r="E15" s="3">
        <v>-4.0342342500000045E-3</v>
      </c>
      <c r="F15" s="3">
        <v>4.0342342500000045E-3</v>
      </c>
      <c r="G15" s="25"/>
    </row>
    <row r="16" spans="1:12" x14ac:dyDescent="0.25">
      <c r="A16" t="s">
        <v>60</v>
      </c>
      <c r="B16" s="23" t="s">
        <v>35</v>
      </c>
      <c r="C16" t="s">
        <v>157</v>
      </c>
      <c r="D16" s="24">
        <v>0.56350127500000002</v>
      </c>
      <c r="E16" s="25">
        <v>3.8100765000000023E-3</v>
      </c>
      <c r="F16" s="3">
        <v>3.8100765000000023E-3</v>
      </c>
      <c r="G16" s="25"/>
    </row>
    <row r="17" spans="1:7" x14ac:dyDescent="0.25">
      <c r="A17" t="s">
        <v>56</v>
      </c>
      <c r="B17" t="s">
        <v>24</v>
      </c>
      <c r="C17" t="s">
        <v>157</v>
      </c>
      <c r="D17" s="21">
        <v>0.50990637768884439</v>
      </c>
      <c r="E17" s="3">
        <v>1.9802849000000004E-4</v>
      </c>
      <c r="F17" s="3">
        <v>1.9802849000000004E-4</v>
      </c>
      <c r="G17" s="3"/>
    </row>
    <row r="18" spans="1:7" x14ac:dyDescent="0.25">
      <c r="A18" t="s">
        <v>58</v>
      </c>
      <c r="B18" t="s">
        <v>31</v>
      </c>
      <c r="C18" t="s">
        <v>157</v>
      </c>
      <c r="D18" s="21">
        <v>0.50050000000000006</v>
      </c>
      <c r="E18" s="3">
        <v>2.5000000000000716E-5</v>
      </c>
      <c r="F18" s="3">
        <v>2.5000000000000716E-5</v>
      </c>
    </row>
    <row r="19" spans="1:7" x14ac:dyDescent="0.25">
      <c r="A19" t="s">
        <v>63</v>
      </c>
      <c r="B19" t="s">
        <v>28</v>
      </c>
      <c r="C19" t="s">
        <v>157</v>
      </c>
      <c r="D19" s="21">
        <v>0.49999915307831994</v>
      </c>
      <c r="E19" s="3">
        <v>-4.5799999999138197E-9</v>
      </c>
      <c r="F19" s="3">
        <v>4.5799999999138197E-9</v>
      </c>
    </row>
    <row r="20" spans="1:7" x14ac:dyDescent="0.25">
      <c r="A20" t="s">
        <v>56</v>
      </c>
      <c r="B20" t="s">
        <v>24</v>
      </c>
      <c r="C20" t="s">
        <v>157</v>
      </c>
      <c r="D20" s="21">
        <v>0.5</v>
      </c>
      <c r="E20" s="3">
        <v>0</v>
      </c>
      <c r="F20" s="3">
        <v>0</v>
      </c>
    </row>
    <row r="21" spans="1:7" x14ac:dyDescent="0.25">
      <c r="A21" t="s">
        <v>59</v>
      </c>
      <c r="B21" s="23" t="s">
        <v>32</v>
      </c>
      <c r="C21" t="s">
        <v>157</v>
      </c>
      <c r="D21" s="24">
        <v>0.5</v>
      </c>
      <c r="E21" s="25">
        <v>0</v>
      </c>
      <c r="F21" s="25">
        <v>0</v>
      </c>
    </row>
    <row r="22" spans="1:7" x14ac:dyDescent="0.25">
      <c r="A22" t="s">
        <v>68</v>
      </c>
      <c r="B22" t="s">
        <v>38</v>
      </c>
      <c r="C22" t="s">
        <v>157</v>
      </c>
      <c r="D22" s="21">
        <v>0.5</v>
      </c>
      <c r="E22" s="3">
        <v>0</v>
      </c>
      <c r="F22" s="3">
        <v>0</v>
      </c>
    </row>
    <row r="23" spans="1:7" x14ac:dyDescent="0.25">
      <c r="A23" t="s">
        <v>57</v>
      </c>
      <c r="B23" t="s">
        <v>29</v>
      </c>
      <c r="C23" t="s">
        <v>157</v>
      </c>
      <c r="D23" s="21">
        <v>0.5</v>
      </c>
      <c r="E23" s="3">
        <v>0</v>
      </c>
      <c r="F23" s="3">
        <v>0</v>
      </c>
    </row>
    <row r="24" spans="1:7" x14ac:dyDescent="0.25">
      <c r="A24" t="s">
        <v>56</v>
      </c>
      <c r="B24" s="23" t="s">
        <v>73</v>
      </c>
      <c r="C24" t="s">
        <v>157</v>
      </c>
      <c r="D24" s="24">
        <v>0.5</v>
      </c>
      <c r="E24" s="25">
        <v>0</v>
      </c>
      <c r="F24" s="25">
        <v>0</v>
      </c>
    </row>
    <row r="25" spans="1:7" x14ac:dyDescent="0.25">
      <c r="B25" s="23"/>
      <c r="C25" s="23"/>
      <c r="D25" s="24"/>
      <c r="E25" s="25"/>
      <c r="F25" s="25"/>
    </row>
    <row r="26" spans="1:7" x14ac:dyDescent="0.25">
      <c r="B26" s="23"/>
      <c r="C26" s="23"/>
      <c r="D26" s="24"/>
      <c r="E26" s="25"/>
      <c r="F26" s="25"/>
    </row>
    <row r="27" spans="1:7" x14ac:dyDescent="0.25">
      <c r="B27" s="23"/>
      <c r="C27" s="23"/>
      <c r="D27" s="24"/>
      <c r="E27" s="25"/>
    </row>
    <row r="29" spans="1:7" x14ac:dyDescent="0.25">
      <c r="B29" s="23"/>
      <c r="C29" s="23"/>
      <c r="D29" s="24"/>
      <c r="E29" s="25"/>
    </row>
    <row r="32" spans="1:7" x14ac:dyDescent="0.25">
      <c r="B32" s="23"/>
      <c r="C32" s="23"/>
      <c r="D32" s="24"/>
      <c r="E32" s="25"/>
      <c r="F32" s="25"/>
    </row>
    <row r="33" spans="2:7" x14ac:dyDescent="0.25">
      <c r="G33" s="23"/>
    </row>
    <row r="34" spans="2:7" x14ac:dyDescent="0.25">
      <c r="B34" s="23"/>
      <c r="C34" s="23"/>
      <c r="D34" s="24"/>
      <c r="E34" s="25"/>
      <c r="G34" s="26"/>
    </row>
    <row r="35" spans="2:7" x14ac:dyDescent="0.25">
      <c r="G35" s="26"/>
    </row>
    <row r="36" spans="2:7" x14ac:dyDescent="0.25">
      <c r="G36" s="23"/>
    </row>
    <row r="41" spans="2:7" x14ac:dyDescent="0.25">
      <c r="B41" s="23"/>
      <c r="C41" s="23"/>
      <c r="D41" s="24"/>
      <c r="E41" s="25"/>
    </row>
    <row r="42" spans="2:7" x14ac:dyDescent="0.25">
      <c r="B42" s="23"/>
      <c r="C42" s="23"/>
      <c r="D42" s="24"/>
      <c r="E42" s="25"/>
    </row>
    <row r="43" spans="2:7" x14ac:dyDescent="0.25">
      <c r="B43" s="23"/>
      <c r="C43" s="23"/>
      <c r="D43" s="24"/>
      <c r="E43" s="25"/>
    </row>
  </sheetData>
  <sortState ref="A2:F47">
    <sortCondition descending="1" ref="F1"/>
  </sortState>
  <conditionalFormatting sqref="D2:D1048576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{B339A481-BD24-410A-B740-2962917581C9}</x14:id>
        </ext>
      </extLst>
    </cfRule>
  </conditionalFormatting>
  <conditionalFormatting sqref="E1">
    <cfRule type="dataBar" priority="2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{DC59FCE7-6887-4907-B3E5-A3EAD5E7125A}</x14:id>
        </ext>
      </extLst>
    </cfRule>
  </conditionalFormatting>
  <conditionalFormatting sqref="F1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{9DB7167E-259B-42BE-9C9C-B899AA594290}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39A481-BD24-410A-B740-2962917581C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D2:D1048576</xm:sqref>
        </x14:conditionalFormatting>
        <x14:conditionalFormatting xmlns:xm="http://schemas.microsoft.com/office/excel/2006/main">
          <x14:cfRule type="dataBar" id="{DC59FCE7-6887-4907-B3E5-A3EAD5E712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</xm:sqref>
        </x14:conditionalFormatting>
        <x14:conditionalFormatting xmlns:xm="http://schemas.microsoft.com/office/excel/2006/main">
          <x14:cfRule type="dataBar" id="{9DB7167E-259B-42BE-9C9C-B899AA5942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Dashboard</vt:lpstr>
      <vt:lpstr>Channel Watchlist</vt:lpstr>
      <vt:lpstr>Rebalance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2019-07-19T17:38:45Z</dcterms:created>
  <dcterms:modified xsi:type="dcterms:W3CDTF">2020-05-28T16:50:42Z</dcterms:modified>
</cp:coreProperties>
</file>